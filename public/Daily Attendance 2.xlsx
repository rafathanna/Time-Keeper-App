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ps store\Desktop\Attemdance\"/>
    </mc:Choice>
  </mc:AlternateContent>
  <bookViews>
    <workbookView xWindow="0" yWindow="0" windowWidth="20490" windowHeight="7155" tabRatio="500"/>
  </bookViews>
  <sheets>
    <sheet name="New Capital" sheetId="1" r:id="rId1"/>
  </sheets>
  <definedNames>
    <definedName name="_xlfn_IFERROR">none</definedName>
    <definedName name="Excel_BuiltIn__FilterDatabase" localSheetId="0">'New Capital'!$A$10:$J$33</definedName>
    <definedName name="_xlnm.Print_Area" localSheetId="0">'New Capital'!$A$1:$H$117</definedName>
    <definedName name="_xlnm.Print_Titles" localSheetId="0">'New Capital'!$1:$6</definedName>
  </definedNames>
  <calcPr calcId="152511"/>
</workbook>
</file>

<file path=xl/calcChain.xml><?xml version="1.0" encoding="utf-8"?>
<calcChain xmlns="http://schemas.openxmlformats.org/spreadsheetml/2006/main">
  <c r="C34" i="1" l="1"/>
  <c r="C95" i="1" l="1"/>
  <c r="C79" i="1" l="1"/>
  <c r="C112" i="1"/>
  <c r="C103" i="1"/>
  <c r="C89" i="1"/>
  <c r="C74" i="1"/>
  <c r="C67" i="1"/>
  <c r="C61" i="1"/>
  <c r="C51" i="1"/>
  <c r="C39" i="1"/>
  <c r="C21" i="1"/>
  <c r="K1" i="1" l="1"/>
</calcChain>
</file>

<file path=xl/sharedStrings.xml><?xml version="1.0" encoding="utf-8"?>
<sst xmlns="http://schemas.openxmlformats.org/spreadsheetml/2006/main" count="235" uniqueCount="169">
  <si>
    <t>م</t>
  </si>
  <si>
    <t>الآســــــــــــــــــــــــــــــم</t>
  </si>
  <si>
    <t>المهنة</t>
  </si>
  <si>
    <t>الوقت</t>
  </si>
  <si>
    <t>ساعات العمل
الاضافية</t>
  </si>
  <si>
    <t>الخصم</t>
  </si>
  <si>
    <t>ملاحظات</t>
  </si>
  <si>
    <t>من</t>
  </si>
  <si>
    <t>إلى</t>
  </si>
  <si>
    <t>Construction</t>
  </si>
  <si>
    <t>مينا القمص ويصا</t>
  </si>
  <si>
    <t>Construction Manager B</t>
  </si>
  <si>
    <t>Time Sheet</t>
  </si>
  <si>
    <t>جورج عياد تناغو سوس</t>
  </si>
  <si>
    <t>Site Team Leader</t>
  </si>
  <si>
    <t>روبير ثروت عبدالملاك</t>
  </si>
  <si>
    <t>مينا رضا اندراوس يوسف</t>
  </si>
  <si>
    <t>Senior Site Engineer</t>
  </si>
  <si>
    <t>بيشوي بشري عدلي اسعد عطا</t>
  </si>
  <si>
    <t>محمد عبدالحميد سعد سالم</t>
  </si>
  <si>
    <t>Site Engineer</t>
  </si>
  <si>
    <t>محمود فرج مصطفى ابوالخير</t>
  </si>
  <si>
    <t>علي سلامة علي محمد</t>
  </si>
  <si>
    <t>Foreman Supervisor</t>
  </si>
  <si>
    <t>ماهر عزيز ميخائيل</t>
  </si>
  <si>
    <t>Senior Foreman</t>
  </si>
  <si>
    <t>شنودة وجيه مسعود وهبه</t>
  </si>
  <si>
    <t>Foreman</t>
  </si>
  <si>
    <t>oct</t>
  </si>
  <si>
    <t>وجدى وديع شفيق بسطاروس</t>
  </si>
  <si>
    <t>رضا اسحق عزيز ميخائيل</t>
  </si>
  <si>
    <t>اجمالى عدد الافراد</t>
  </si>
  <si>
    <t>Quality Control</t>
  </si>
  <si>
    <t>اميل فهمى عبدالنور عبدالمسيح</t>
  </si>
  <si>
    <t>QC Manager A</t>
  </si>
  <si>
    <t>مصطفي عزت محمود محمد</t>
  </si>
  <si>
    <t>QC Manager B</t>
  </si>
  <si>
    <t>فادي موريس بولس عبدالله</t>
  </si>
  <si>
    <t xml:space="preserve">QC Manager </t>
  </si>
  <si>
    <t>يحى زكريا مصطفى</t>
  </si>
  <si>
    <t>QC Team Leader</t>
  </si>
  <si>
    <t>طارق عطيه الحبشى عبدالمجيد</t>
  </si>
  <si>
    <t xml:space="preserve">QC Team Leader </t>
  </si>
  <si>
    <t>Senior QC Engineer</t>
  </si>
  <si>
    <t>وليد مكرم  احمد محمد منصور</t>
  </si>
  <si>
    <t>محمود مصطفى عبدالله ابراهيم</t>
  </si>
  <si>
    <t>QC Engineer</t>
  </si>
  <si>
    <t>مريم نظمى انيس</t>
  </si>
  <si>
    <t>Senior Document Controller</t>
  </si>
  <si>
    <t>احمد محمد عبدالحميد السيد خضر</t>
  </si>
  <si>
    <t>Document Controller</t>
  </si>
  <si>
    <t>فادي سامح بشري</t>
  </si>
  <si>
    <t>Surveying</t>
  </si>
  <si>
    <t>عبدالواحد احمد عبدالواحد مرسى</t>
  </si>
  <si>
    <t>Surveying Manager</t>
  </si>
  <si>
    <t>فتحى سعيد فتحى السيد</t>
  </si>
  <si>
    <t>Surveying Engineer</t>
  </si>
  <si>
    <t>ذكريا فوزى توفيق</t>
  </si>
  <si>
    <t>Chief Surveyor</t>
  </si>
  <si>
    <t>OC</t>
  </si>
  <si>
    <t>الي</t>
  </si>
  <si>
    <t>Technical office</t>
  </si>
  <si>
    <t>أسامة مشرف عبدالوكيل مشرف</t>
  </si>
  <si>
    <t xml:space="preserve">Design Manager </t>
  </si>
  <si>
    <t>مينا يوسف جرجس منسي</t>
  </si>
  <si>
    <t>Technical Office Chief Engineer</t>
  </si>
  <si>
    <t>سحر اشرف محمد عبدالرحمن</t>
  </si>
  <si>
    <t>ابانوب حسام حليم غالي</t>
  </si>
  <si>
    <t>Senior Technical Office Engineer</t>
  </si>
  <si>
    <t xml:space="preserve">باسم ايمن قدري زيدان </t>
  </si>
  <si>
    <t xml:space="preserve">Technical Office Engineer </t>
  </si>
  <si>
    <t xml:space="preserve">8:00 AM
</t>
  </si>
  <si>
    <t>ريمون مكرم حليم حنا</t>
  </si>
  <si>
    <t>ايناس مصطفي مبارك محمد</t>
  </si>
  <si>
    <t>Senior Methods Engineer</t>
  </si>
  <si>
    <t>HSE</t>
  </si>
  <si>
    <t>وائل محمد محمد محمد الحديدى</t>
  </si>
  <si>
    <t>HSE Manager B</t>
  </si>
  <si>
    <t>فيليب فوزى فهيم سمعان</t>
  </si>
  <si>
    <t>مراد جرجس سعد واصف</t>
  </si>
  <si>
    <t>HSE Manager C</t>
  </si>
  <si>
    <t>محمد فكري محمد احمد</t>
  </si>
  <si>
    <t>HSE Supervisor</t>
  </si>
  <si>
    <t>محمد مجدى  محمد</t>
  </si>
  <si>
    <t>Senior HSE Supervisor</t>
  </si>
  <si>
    <t>اشرف مبروك على حسن شرف الدين</t>
  </si>
  <si>
    <t>احمد جمال محمد حسن</t>
  </si>
  <si>
    <t xml:space="preserve">سيد محمود علي عيسسي </t>
  </si>
  <si>
    <t>Nurse</t>
  </si>
  <si>
    <t>Finance</t>
  </si>
  <si>
    <t>محمد فتحي محمد علي</t>
  </si>
  <si>
    <t>Senior Accountant</t>
  </si>
  <si>
    <t>planning</t>
  </si>
  <si>
    <t>مرقس ميلاد توفيق خله</t>
  </si>
  <si>
    <t>Planning Manager</t>
  </si>
  <si>
    <t xml:space="preserve"> </t>
  </si>
  <si>
    <t>ماريا رجائي غطاس حنين</t>
  </si>
  <si>
    <t>Planning Team Leader</t>
  </si>
  <si>
    <t>IT</t>
  </si>
  <si>
    <t xml:space="preserve">معتز محمد حسين حسن </t>
  </si>
  <si>
    <t>IT Senior Operations Engineer</t>
  </si>
  <si>
    <t>Q S</t>
  </si>
  <si>
    <t>احمد عبدالرؤوف عبدالواحد</t>
  </si>
  <si>
    <t>Quantity Surveying manager</t>
  </si>
  <si>
    <t>احمد اسامه السيد حندوسه</t>
  </si>
  <si>
    <t>Technichal Office Engineer</t>
  </si>
  <si>
    <t>كيرلس جمال</t>
  </si>
  <si>
    <t>Draftman</t>
  </si>
  <si>
    <t xml:space="preserve"> Project coardinator</t>
  </si>
  <si>
    <t>الاء محمد عبدالحميد عبدالقادر</t>
  </si>
  <si>
    <t>Project Coordinator Team Leader</t>
  </si>
  <si>
    <t>سهيله علاء عبدالعزيز عبدالفتاح</t>
  </si>
  <si>
    <t>Project Coordinator</t>
  </si>
  <si>
    <t>كيرلس رفعت ونيس منصور</t>
  </si>
  <si>
    <t xml:space="preserve"> Cost Control Engineer</t>
  </si>
  <si>
    <t>الاسم</t>
  </si>
  <si>
    <t xml:space="preserve">من </t>
  </si>
  <si>
    <t>Equipment</t>
  </si>
  <si>
    <t>ابراهيم احمد الطيب محمد</t>
  </si>
  <si>
    <t>OED- Maintenance Manager A</t>
  </si>
  <si>
    <t>Track</t>
  </si>
  <si>
    <t xml:space="preserve">Mourat </t>
  </si>
  <si>
    <t>Track Manager</t>
  </si>
  <si>
    <t>Oct</t>
  </si>
  <si>
    <t>محمود حامد محمود خلف</t>
  </si>
  <si>
    <t>كيرلس عزت سمير لمعى</t>
  </si>
  <si>
    <t>Contract</t>
  </si>
  <si>
    <t>احمد نزيه محمد النادى</t>
  </si>
  <si>
    <t>Contracts &amp; Claims Manager B</t>
  </si>
  <si>
    <t>دنيا مصطفى عبدالحكم محمد الدوي</t>
  </si>
  <si>
    <t>Contracts Administrator</t>
  </si>
  <si>
    <t>محمد عبدالمجيد مجد عبدالفتاح</t>
  </si>
  <si>
    <t>Security</t>
  </si>
  <si>
    <t>مايكل عصام شحاته</t>
  </si>
  <si>
    <t>Security Manager</t>
  </si>
  <si>
    <t>Admin</t>
  </si>
  <si>
    <t>مودى منير فخرى عوض</t>
  </si>
  <si>
    <t>Administrative Team Leader</t>
  </si>
  <si>
    <t>مجدى ايوب عبيد جاد</t>
  </si>
  <si>
    <t>Senior Administrative Officer</t>
  </si>
  <si>
    <t>ممدوح متي ثابت متي</t>
  </si>
  <si>
    <t>Tea Boy</t>
  </si>
  <si>
    <t xml:space="preserve">مارى جرجس فرويز </t>
  </si>
  <si>
    <t>ساعات
العمل
الاضافية</t>
  </si>
  <si>
    <t>Human Resources</t>
  </si>
  <si>
    <t>وسام ناجى هنرى ميخائيل</t>
  </si>
  <si>
    <t>HR Manager</t>
  </si>
  <si>
    <t>ايرينى رمسيس ناشد رزق الله</t>
  </si>
  <si>
    <t>Senior HR coordinator</t>
  </si>
  <si>
    <t>ايهاب محفوظ فهمي عبدالملك</t>
  </si>
  <si>
    <t>HR Assistant</t>
  </si>
  <si>
    <t xml:space="preserve">7:00 AM
</t>
  </si>
  <si>
    <t>سامح رفعت جرس جرجس</t>
  </si>
  <si>
    <t>مسئول موارد بشرية</t>
  </si>
  <si>
    <t>نائب مدير المشروع</t>
  </si>
  <si>
    <t xml:space="preserve">       م/    </t>
  </si>
  <si>
    <t>:</t>
  </si>
  <si>
    <t xml:space="preserve">                   High Speed Rail (Green Line) Project</t>
  </si>
  <si>
    <t>احمد ايمن محمد احمد إبراهيم</t>
  </si>
  <si>
    <t>مصطفى محمد عبدالغنى مصطفي حلاوة</t>
  </si>
  <si>
    <t xml:space="preserve">Time Sheet </t>
  </si>
  <si>
    <t>ستيفن أسامة فالروق عزمي</t>
  </si>
  <si>
    <t>Junior Contracts Administrator</t>
  </si>
  <si>
    <t>الضبعة</t>
  </si>
  <si>
    <t xml:space="preserve"> 6:00 PM
</t>
  </si>
  <si>
    <t>A</t>
  </si>
  <si>
    <t>إجازة مرضى</t>
  </si>
  <si>
    <t xml:space="preserve">الضبعة 
</t>
  </si>
  <si>
    <t xml:space="preserve">   كشف حضور وأثبات ساعات العمل (عقود) عن يوم الاثنين الموافق 2026/2/2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</si>
</sst>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\ AM/PM;@"/>
  </numFmts>
  <fonts count="12" x14ac:knownFonts="1">
    <font>
      <sz val="10"/>
      <name val="Arial"/>
    </font>
    <font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4"/>
      <color rgb="FF000000"/>
      <name val="Arial"/>
      <family val="2"/>
    </font>
    <font>
      <b/>
      <sz val="11"/>
      <name val="Calibri"/>
      <family val="2"/>
    </font>
    <font>
      <b/>
      <sz val="16"/>
      <color rgb="FF000000"/>
      <name val="Arial"/>
      <family val="2"/>
    </font>
    <font>
      <sz val="16"/>
      <name val="Arial"/>
      <family val="2"/>
    </font>
    <font>
      <sz val="18"/>
      <name val="Arial"/>
      <family val="2"/>
    </font>
    <font>
      <b/>
      <sz val="18"/>
      <color theme="1" tint="4.9989318521683403E-2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808080"/>
      </patternFill>
    </fill>
    <fill>
      <patternFill patternType="solid">
        <fgColor theme="4" tint="0.79998168889431442"/>
        <bgColor rgb="FFCCCCFF"/>
      </patternFill>
    </fill>
    <fill>
      <patternFill patternType="solid">
        <fgColor theme="4" tint="0.79998168889431442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rgb="FFFF0000"/>
        <bgColor rgb="FFFFFFCC"/>
      </patternFill>
    </fill>
  </fills>
  <borders count="3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2"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4" borderId="9" xfId="0" applyFont="1" applyFill="1" applyBorder="1" applyAlignment="1">
      <alignment horizontal="right" vertical="center"/>
    </xf>
    <xf numFmtId="1" fontId="3" fillId="4" borderId="7" xfId="0" applyNumberFormat="1" applyFont="1" applyFill="1" applyBorder="1" applyAlignment="1">
      <alignment horizontal="center" vertical="center"/>
    </xf>
    <xf numFmtId="2" fontId="7" fillId="0" borderId="8" xfId="0" applyNumberFormat="1" applyFont="1" applyBorder="1" applyAlignment="1" applyProtection="1">
      <alignment horizontal="center" vertical="center"/>
      <protection locked="0"/>
    </xf>
    <xf numFmtId="164" fontId="2" fillId="4" borderId="7" xfId="0" applyNumberFormat="1" applyFont="1" applyFill="1" applyBorder="1" applyAlignment="1">
      <alignment horizontal="center" vertical="center"/>
    </xf>
    <xf numFmtId="2" fontId="7" fillId="0" borderId="7" xfId="0" applyNumberFormat="1" applyFont="1" applyBorder="1" applyAlignment="1" applyProtection="1">
      <alignment horizontal="center" vertical="center"/>
      <protection locked="0"/>
    </xf>
    <xf numFmtId="0" fontId="2" fillId="4" borderId="7" xfId="0" applyFont="1" applyFill="1" applyBorder="1" applyAlignment="1">
      <alignment horizontal="center" vertical="center"/>
    </xf>
    <xf numFmtId="164" fontId="2" fillId="4" borderId="7" xfId="0" applyNumberFormat="1" applyFont="1" applyFill="1" applyBorder="1" applyAlignment="1">
      <alignment horizontal="center" vertical="center" readingOrder="1"/>
    </xf>
    <xf numFmtId="0" fontId="3" fillId="0" borderId="10" xfId="0" applyFont="1" applyBorder="1" applyAlignment="1">
      <alignment horizontal="center" vertical="center"/>
    </xf>
    <xf numFmtId="164" fontId="4" fillId="4" borderId="7" xfId="0" applyNumberFormat="1" applyFont="1" applyFill="1" applyBorder="1" applyAlignment="1">
      <alignment horizontal="center" vertical="center"/>
    </xf>
    <xf numFmtId="0" fontId="1" fillId="0" borderId="8" xfId="0" applyFont="1" applyBorder="1" applyAlignment="1"/>
    <xf numFmtId="0" fontId="2" fillId="2" borderId="9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right" vertical="center"/>
    </xf>
    <xf numFmtId="1" fontId="3" fillId="4" borderId="0" xfId="0" applyNumberFormat="1" applyFont="1" applyFill="1" applyAlignment="1">
      <alignment horizontal="center" vertical="center"/>
    </xf>
    <xf numFmtId="164" fontId="4" fillId="2" borderId="7" xfId="0" applyNumberFormat="1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right" vertical="center"/>
    </xf>
    <xf numFmtId="1" fontId="4" fillId="4" borderId="7" xfId="0" applyNumberFormat="1" applyFont="1" applyFill="1" applyBorder="1" applyAlignment="1">
      <alignment horizontal="center" vertical="center"/>
    </xf>
    <xf numFmtId="1" fontId="3" fillId="4" borderId="7" xfId="0" applyNumberFormat="1" applyFont="1" applyFill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1" fillId="6" borderId="0" xfId="0" applyFont="1" applyFill="1" applyAlignment="1"/>
    <xf numFmtId="0" fontId="1" fillId="0" borderId="0" xfId="0" applyFont="1" applyAlignment="1"/>
    <xf numFmtId="164" fontId="4" fillId="12" borderId="24" xfId="0" applyNumberFormat="1" applyFont="1" applyFill="1" applyBorder="1" applyAlignment="1">
      <alignment vertical="center"/>
    </xf>
    <xf numFmtId="164" fontId="2" fillId="12" borderId="8" xfId="0" applyNumberFormat="1" applyFont="1" applyFill="1" applyBorder="1" applyAlignment="1">
      <alignment horizontal="center" vertical="center"/>
    </xf>
    <xf numFmtId="164" fontId="4" fillId="12" borderId="8" xfId="0" applyNumberFormat="1" applyFont="1" applyFill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164" fontId="2" fillId="12" borderId="8" xfId="0" applyNumberFormat="1" applyFont="1" applyFill="1" applyBorder="1" applyAlignment="1">
      <alignment vertical="center"/>
    </xf>
    <xf numFmtId="0" fontId="0" fillId="0" borderId="24" xfId="0" applyBorder="1" applyAlignment="1"/>
    <xf numFmtId="0" fontId="0" fillId="0" borderId="8" xfId="0" applyBorder="1" applyAlignment="1"/>
    <xf numFmtId="0" fontId="0" fillId="6" borderId="24" xfId="0" applyFill="1" applyBorder="1" applyAlignment="1"/>
    <xf numFmtId="0" fontId="0" fillId="6" borderId="8" xfId="0" applyFill="1" applyBorder="1" applyAlignment="1"/>
    <xf numFmtId="164" fontId="2" fillId="12" borderId="15" xfId="0" applyNumberFormat="1" applyFont="1" applyFill="1" applyBorder="1" applyAlignment="1">
      <alignment vertical="center"/>
    </xf>
    <xf numFmtId="164" fontId="2" fillId="12" borderId="24" xfId="0" applyNumberFormat="1" applyFont="1" applyFill="1" applyBorder="1" applyAlignment="1">
      <alignment vertical="center"/>
    </xf>
    <xf numFmtId="164" fontId="11" fillId="12" borderId="15" xfId="0" applyNumberFormat="1" applyFont="1" applyFill="1" applyBorder="1" applyAlignment="1">
      <alignment vertical="center" readingOrder="1"/>
    </xf>
    <xf numFmtId="164" fontId="11" fillId="12" borderId="8" xfId="0" applyNumberFormat="1" applyFont="1" applyFill="1" applyBorder="1" applyAlignment="1">
      <alignment vertical="center" readingOrder="1"/>
    </xf>
    <xf numFmtId="164" fontId="2" fillId="13" borderId="15" xfId="0" applyNumberFormat="1" applyFont="1" applyFill="1" applyBorder="1" applyAlignment="1">
      <alignment horizontal="center" vertical="center" readingOrder="1"/>
    </xf>
    <xf numFmtId="164" fontId="2" fillId="13" borderId="24" xfId="0" applyNumberFormat="1" applyFont="1" applyFill="1" applyBorder="1" applyAlignment="1">
      <alignment horizontal="center" vertical="center" readingOrder="1"/>
    </xf>
    <xf numFmtId="0" fontId="4" fillId="3" borderId="1" xfId="0" applyFont="1" applyFill="1" applyBorder="1" applyAlignment="1">
      <alignment horizontal="center" vertical="center"/>
    </xf>
    <xf numFmtId="0" fontId="0" fillId="0" borderId="10" xfId="0" applyBorder="1"/>
    <xf numFmtId="0" fontId="0" fillId="0" borderId="22" xfId="0" applyBorder="1"/>
    <xf numFmtId="0" fontId="4" fillId="2" borderId="3" xfId="0" applyFont="1" applyFill="1" applyBorder="1" applyAlignment="1">
      <alignment horizontal="center" vertical="center"/>
    </xf>
    <xf numFmtId="0" fontId="0" fillId="0" borderId="20" xfId="0" applyBorder="1"/>
    <xf numFmtId="0" fontId="2" fillId="4" borderId="6" xfId="0" applyFont="1" applyFill="1" applyBorder="1" applyAlignment="1">
      <alignment horizontal="center" vertical="center"/>
    </xf>
    <xf numFmtId="0" fontId="0" fillId="0" borderId="16" xfId="0" applyBorder="1"/>
    <xf numFmtId="164" fontId="2" fillId="4" borderId="8" xfId="0" applyNumberFormat="1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3" fillId="8" borderId="8" xfId="0" applyFont="1" applyFill="1" applyBorder="1" applyAlignment="1">
      <alignment horizontal="center" vertical="center"/>
    </xf>
    <xf numFmtId="0" fontId="0" fillId="7" borderId="24" xfId="0" applyFill="1" applyBorder="1"/>
    <xf numFmtId="164" fontId="2" fillId="4" borderId="15" xfId="0" applyNumberFormat="1" applyFont="1" applyFill="1" applyBorder="1" applyAlignment="1">
      <alignment horizontal="center" vertical="center"/>
    </xf>
    <xf numFmtId="164" fontId="2" fillId="4" borderId="2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/>
    <xf numFmtId="0" fontId="4" fillId="2" borderId="8" xfId="0" applyFont="1" applyFill="1" applyBorder="1" applyAlignment="1">
      <alignment horizontal="center" vertical="center" wrapText="1"/>
    </xf>
    <xf numFmtId="0" fontId="0" fillId="0" borderId="7" xfId="0" applyBorder="1"/>
    <xf numFmtId="164" fontId="4" fillId="4" borderId="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0" fillId="0" borderId="21" xfId="0" applyBorder="1"/>
    <xf numFmtId="0" fontId="4" fillId="5" borderId="15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4" fillId="11" borderId="15" xfId="0" applyFont="1" applyFill="1" applyBorder="1" applyAlignment="1">
      <alignment horizontal="center" vertical="center"/>
    </xf>
    <xf numFmtId="0" fontId="4" fillId="11" borderId="24" xfId="0" applyFont="1" applyFill="1" applyBorder="1" applyAlignment="1">
      <alignment horizontal="center" vertical="center"/>
    </xf>
    <xf numFmtId="164" fontId="2" fillId="12" borderId="15" xfId="0" applyNumberFormat="1" applyFont="1" applyFill="1" applyBorder="1" applyAlignment="1">
      <alignment horizontal="center" vertical="center"/>
    </xf>
    <xf numFmtId="164" fontId="2" fillId="12" borderId="24" xfId="0" applyNumberFormat="1" applyFont="1" applyFill="1" applyBorder="1" applyAlignment="1">
      <alignment horizontal="center" vertical="center"/>
    </xf>
    <xf numFmtId="164" fontId="4" fillId="4" borderId="32" xfId="0" applyNumberFormat="1" applyFont="1" applyFill="1" applyBorder="1" applyAlignment="1">
      <alignment horizontal="center" vertical="center"/>
    </xf>
    <xf numFmtId="164" fontId="4" fillId="4" borderId="23" xfId="0" applyNumberFormat="1" applyFont="1" applyFill="1" applyBorder="1" applyAlignment="1">
      <alignment horizontal="center" vertical="center"/>
    </xf>
    <xf numFmtId="164" fontId="4" fillId="4" borderId="24" xfId="0" applyNumberFormat="1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2" xfId="0" applyBorder="1"/>
    <xf numFmtId="0" fontId="3" fillId="2" borderId="12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0" borderId="27" xfId="0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2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0" fillId="0" borderId="28" xfId="0" applyBorder="1"/>
    <xf numFmtId="0" fontId="3" fillId="0" borderId="11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164" fontId="4" fillId="2" borderId="8" xfId="0" applyNumberFormat="1" applyFont="1" applyFill="1" applyBorder="1" applyAlignment="1">
      <alignment horizontal="center" vertical="center"/>
    </xf>
    <xf numFmtId="164" fontId="4" fillId="10" borderId="15" xfId="0" applyNumberFormat="1" applyFont="1" applyFill="1" applyBorder="1" applyAlignment="1">
      <alignment horizontal="center" vertical="center"/>
    </xf>
    <xf numFmtId="164" fontId="4" fillId="10" borderId="24" xfId="0" applyNumberFormat="1" applyFont="1" applyFill="1" applyBorder="1" applyAlignment="1">
      <alignment horizontal="center" vertical="center"/>
    </xf>
    <xf numFmtId="164" fontId="3" fillId="8" borderId="8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19" xfId="0" applyBorder="1"/>
    <xf numFmtId="0" fontId="4" fillId="2" borderId="2" xfId="0" applyFont="1" applyFill="1" applyBorder="1" applyAlignment="1">
      <alignment horizontal="center" vertical="center"/>
    </xf>
    <xf numFmtId="164" fontId="3" fillId="9" borderId="4" xfId="0" applyNumberFormat="1" applyFont="1" applyFill="1" applyBorder="1" applyAlignment="1">
      <alignment horizontal="center" vertical="center"/>
    </xf>
    <xf numFmtId="0" fontId="0" fillId="7" borderId="21" xfId="0" applyFill="1" applyBorder="1"/>
    <xf numFmtId="0" fontId="10" fillId="0" borderId="23" xfId="0" applyFont="1" applyBorder="1"/>
    <xf numFmtId="0" fontId="10" fillId="0" borderId="24" xfId="0" applyFont="1" applyBorder="1"/>
    <xf numFmtId="0" fontId="4" fillId="2" borderId="4" xfId="0" applyFont="1" applyFill="1" applyBorder="1" applyAlignment="1">
      <alignment horizontal="center" vertical="center" wrapText="1"/>
    </xf>
    <xf numFmtId="164" fontId="2" fillId="10" borderId="15" xfId="0" applyNumberFormat="1" applyFont="1" applyFill="1" applyBorder="1" applyAlignment="1">
      <alignment horizontal="center" vertical="center"/>
    </xf>
    <xf numFmtId="164" fontId="2" fillId="10" borderId="24" xfId="0" applyNumberFormat="1" applyFont="1" applyFill="1" applyBorder="1" applyAlignment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164" fontId="2" fillId="13" borderId="24" xfId="0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0" fillId="0" borderId="26" xfId="0" applyBorder="1"/>
    <xf numFmtId="164" fontId="4" fillId="4" borderId="6" xfId="0" applyNumberFormat="1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 readingOrder="1"/>
    </xf>
    <xf numFmtId="164" fontId="11" fillId="13" borderId="15" xfId="0" applyNumberFormat="1" applyFont="1" applyFill="1" applyBorder="1" applyAlignment="1">
      <alignment horizontal="center" vertical="center"/>
    </xf>
    <xf numFmtId="164" fontId="11" fillId="13" borderId="2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164" fontId="2" fillId="4" borderId="32" xfId="0" applyNumberFormat="1" applyFont="1" applyFill="1" applyBorder="1" applyAlignment="1">
      <alignment horizontal="center" vertical="center"/>
    </xf>
    <xf numFmtId="164" fontId="2" fillId="4" borderId="23" xfId="0" applyNumberFormat="1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25" xfId="0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824910</xdr:colOff>
      <xdr:row>0</xdr:row>
      <xdr:rowOff>31750</xdr:rowOff>
    </xdr:from>
    <xdr:to>
      <xdr:col>7</xdr:col>
      <xdr:colOff>3876695</xdr:colOff>
      <xdr:row>1</xdr:row>
      <xdr:rowOff>507745</xdr:rowOff>
    </xdr:to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78787055" y="31750"/>
          <a:ext cx="4734535" cy="99987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2</xdr:col>
      <xdr:colOff>2047876</xdr:colOff>
      <xdr:row>0</xdr:row>
      <xdr:rowOff>0</xdr:rowOff>
    </xdr:from>
    <xdr:to>
      <xdr:col>5</xdr:col>
      <xdr:colOff>704466</xdr:colOff>
      <xdr:row>2</xdr:row>
      <xdr:rowOff>18360</xdr:rowOff>
    </xdr:to>
    <xdr:pic>
      <xdr:nvPicPr>
        <xdr:cNvPr id="3" name="Picture 3" descr="A screenshot of a video game&#10;&#10;Description automatically generated with medium confidence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83642034" y="0"/>
          <a:ext cx="4165215" cy="106611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IW117"/>
  <sheetViews>
    <sheetView rightToLeft="1" tabSelected="1" view="pageBreakPreview" topLeftCell="A65" zoomScale="60" zoomScaleNormal="100" workbookViewId="0">
      <selection activeCell="D69" sqref="D69"/>
    </sheetView>
  </sheetViews>
  <sheetFormatPr defaultColWidth="9.140625" defaultRowHeight="23.25" customHeight="1" x14ac:dyDescent="0.35"/>
  <cols>
    <col min="1" max="1" width="4.85546875" style="1" customWidth="1"/>
    <col min="2" max="2" width="38" style="2" customWidth="1"/>
    <col min="3" max="3" width="48.5703125" style="3" customWidth="1"/>
    <col min="4" max="4" width="16.5703125" style="2" customWidth="1"/>
    <col min="5" max="5" width="17.42578125" style="2" customWidth="1"/>
    <col min="6" max="6" width="15" style="2" customWidth="1"/>
    <col min="7" max="7" width="10.140625" style="2" customWidth="1"/>
    <col min="8" max="8" width="63.5703125" style="2" customWidth="1"/>
    <col min="9" max="9" width="3.140625" style="2" customWidth="1"/>
    <col min="10" max="257" width="9.140625" style="2" customWidth="1"/>
  </cols>
  <sheetData>
    <row r="1" spans="1:257" ht="41.25" customHeight="1" x14ac:dyDescent="0.25">
      <c r="B1" s="96" t="s">
        <v>157</v>
      </c>
      <c r="C1" s="97"/>
      <c r="E1" s="4"/>
      <c r="F1" s="4"/>
      <c r="G1" s="4"/>
      <c r="H1" s="4"/>
      <c r="K1" s="2" t="str">
        <f ca="1">A1:K24</f>
        <v/>
      </c>
    </row>
    <row r="2" spans="1:257" ht="41.25" customHeight="1" x14ac:dyDescent="0.25">
      <c r="B2" s="69"/>
      <c r="C2" s="97"/>
      <c r="E2" s="4"/>
      <c r="F2" s="4"/>
      <c r="G2" s="4"/>
      <c r="H2" s="4"/>
    </row>
    <row r="3" spans="1:257" ht="61.5" customHeight="1" thickBot="1" x14ac:dyDescent="0.4">
      <c r="B3" s="98" t="s">
        <v>168</v>
      </c>
      <c r="C3" s="97"/>
      <c r="D3" s="69"/>
      <c r="E3" s="69"/>
      <c r="F3" s="69"/>
      <c r="G3" s="69"/>
      <c r="H3" s="69"/>
    </row>
    <row r="4" spans="1:257" ht="34.5" customHeight="1" thickBot="1" x14ac:dyDescent="0.25">
      <c r="A4" s="127"/>
      <c r="B4" s="127"/>
      <c r="C4" s="127"/>
      <c r="D4" s="127"/>
      <c r="E4" s="127"/>
      <c r="F4" s="127"/>
      <c r="G4" s="128"/>
      <c r="H4" s="6" t="s">
        <v>59</v>
      </c>
    </row>
    <row r="5" spans="1:257" ht="34.5" customHeight="1" thickBot="1" x14ac:dyDescent="0.25">
      <c r="A5" s="111" t="s">
        <v>0</v>
      </c>
      <c r="B5" s="57" t="s">
        <v>1</v>
      </c>
      <c r="C5" s="57" t="s">
        <v>2</v>
      </c>
      <c r="D5" s="74" t="s">
        <v>3</v>
      </c>
      <c r="E5" s="75"/>
      <c r="F5" s="99" t="s">
        <v>4</v>
      </c>
      <c r="G5" s="57" t="s">
        <v>5</v>
      </c>
      <c r="H5" s="109" t="s">
        <v>6</v>
      </c>
      <c r="K5" s="7"/>
    </row>
    <row r="6" spans="1:257" ht="34.5" customHeight="1" thickBot="1" x14ac:dyDescent="0.25">
      <c r="A6" s="92"/>
      <c r="B6" s="58"/>
      <c r="C6" s="58"/>
      <c r="D6" s="8" t="s">
        <v>7</v>
      </c>
      <c r="E6" s="8" t="s">
        <v>8</v>
      </c>
      <c r="F6" s="58"/>
      <c r="G6" s="58"/>
      <c r="H6" s="110"/>
    </row>
    <row r="7" spans="1:257" ht="45" customHeight="1" thickBot="1" x14ac:dyDescent="0.25">
      <c r="A7" s="54" t="s">
        <v>9</v>
      </c>
      <c r="B7" s="55"/>
      <c r="C7" s="56"/>
      <c r="D7" s="137"/>
      <c r="E7" s="138"/>
      <c r="F7" s="138"/>
      <c r="G7" s="138"/>
      <c r="H7" s="139"/>
    </row>
    <row r="8" spans="1:257" ht="41.25" customHeight="1" x14ac:dyDescent="0.2">
      <c r="A8" s="11">
        <v>1</v>
      </c>
      <c r="B8" s="12" t="s">
        <v>10</v>
      </c>
      <c r="C8" s="13" t="s">
        <v>11</v>
      </c>
      <c r="D8" s="112" t="s">
        <v>12</v>
      </c>
      <c r="E8" s="113"/>
      <c r="F8" s="14"/>
      <c r="G8" s="14"/>
      <c r="H8" s="10"/>
    </row>
    <row r="9" spans="1:257" ht="41.25" customHeight="1" x14ac:dyDescent="0.2">
      <c r="A9" s="11">
        <v>2</v>
      </c>
      <c r="B9" s="12" t="s">
        <v>13</v>
      </c>
      <c r="C9" s="13" t="s">
        <v>14</v>
      </c>
      <c r="D9" s="15">
        <v>8.3541666666666661</v>
      </c>
      <c r="E9" s="15">
        <v>6.7638888888888893</v>
      </c>
      <c r="F9" s="14"/>
      <c r="G9" s="16"/>
      <c r="H9" s="9"/>
    </row>
    <row r="10" spans="1:257" ht="41.25" customHeight="1" x14ac:dyDescent="0.2">
      <c r="A10" s="11">
        <v>3</v>
      </c>
      <c r="B10" s="12" t="s">
        <v>15</v>
      </c>
      <c r="C10" s="13" t="s">
        <v>14</v>
      </c>
      <c r="D10" s="15">
        <v>8.3263888888888893</v>
      </c>
      <c r="E10" s="15">
        <v>6.75</v>
      </c>
      <c r="F10" s="14"/>
      <c r="G10" s="9"/>
      <c r="H10" s="9"/>
    </row>
    <row r="11" spans="1:257" ht="45" customHeight="1" x14ac:dyDescent="0.2">
      <c r="A11" s="11">
        <v>4</v>
      </c>
      <c r="B11" s="12" t="s">
        <v>16</v>
      </c>
      <c r="C11" s="13" t="s">
        <v>17</v>
      </c>
      <c r="D11" s="15">
        <v>8.3333333333333339</v>
      </c>
      <c r="E11" s="15">
        <v>6.75</v>
      </c>
      <c r="F11" s="14"/>
      <c r="G11" s="9"/>
      <c r="H11" s="9"/>
    </row>
    <row r="12" spans="1:257" ht="45" customHeight="1" x14ac:dyDescent="0.2">
      <c r="A12" s="11">
        <v>5</v>
      </c>
      <c r="B12" s="12" t="s">
        <v>18</v>
      </c>
      <c r="C12" s="13" t="s">
        <v>17</v>
      </c>
      <c r="D12" s="15">
        <v>8.3229166666666661</v>
      </c>
      <c r="E12" s="15">
        <v>6.75</v>
      </c>
      <c r="F12" s="16"/>
      <c r="G12" s="9"/>
      <c r="H12" s="9"/>
    </row>
    <row r="13" spans="1:257" ht="45" customHeight="1" x14ac:dyDescent="0.2">
      <c r="A13" s="11">
        <v>6</v>
      </c>
      <c r="B13" s="12" t="s">
        <v>158</v>
      </c>
      <c r="C13" s="13" t="s">
        <v>17</v>
      </c>
      <c r="D13" s="119" t="s">
        <v>165</v>
      </c>
      <c r="E13" s="120"/>
      <c r="F13" s="16"/>
      <c r="G13" s="9"/>
      <c r="H13" s="9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</row>
    <row r="14" spans="1:257" ht="45" customHeight="1" x14ac:dyDescent="0.2">
      <c r="A14" s="11">
        <v>7</v>
      </c>
      <c r="B14" s="12" t="s">
        <v>19</v>
      </c>
      <c r="C14" s="13" t="s">
        <v>20</v>
      </c>
      <c r="D14" s="15">
        <v>8.3333333333333339</v>
      </c>
      <c r="E14" s="15">
        <v>6.75</v>
      </c>
      <c r="F14" s="17"/>
      <c r="G14" s="9"/>
      <c r="H14" s="9"/>
    </row>
    <row r="15" spans="1:257" ht="45" customHeight="1" x14ac:dyDescent="0.2">
      <c r="A15" s="11">
        <v>8</v>
      </c>
      <c r="B15" s="12" t="s">
        <v>21</v>
      </c>
      <c r="C15" s="13" t="s">
        <v>20</v>
      </c>
      <c r="D15" s="15">
        <v>8.3333333333333339</v>
      </c>
      <c r="E15" s="15">
        <v>6.75</v>
      </c>
      <c r="F15" s="17"/>
      <c r="G15" s="9"/>
      <c r="H15" s="9"/>
    </row>
    <row r="16" spans="1:257" ht="45" customHeight="1" x14ac:dyDescent="0.2">
      <c r="A16" s="11">
        <v>9</v>
      </c>
      <c r="B16" s="12" t="s">
        <v>22</v>
      </c>
      <c r="C16" s="13" t="s">
        <v>23</v>
      </c>
      <c r="D16" s="117" t="s">
        <v>166</v>
      </c>
      <c r="E16" s="118"/>
      <c r="F16" s="17"/>
      <c r="G16" s="9"/>
      <c r="H16" s="9"/>
    </row>
    <row r="17" spans="1:257" ht="45" customHeight="1" x14ac:dyDescent="0.2">
      <c r="A17" s="11">
        <v>10</v>
      </c>
      <c r="B17" s="12" t="s">
        <v>24</v>
      </c>
      <c r="C17" s="13" t="s">
        <v>25</v>
      </c>
      <c r="D17" s="15">
        <v>8.2916666666666661</v>
      </c>
      <c r="E17" s="15">
        <v>0.79166666666666663</v>
      </c>
      <c r="F17" s="17"/>
      <c r="G17" s="9"/>
      <c r="H17" s="9"/>
    </row>
    <row r="18" spans="1:257" ht="45" customHeight="1" x14ac:dyDescent="0.35">
      <c r="A18" s="11">
        <v>11</v>
      </c>
      <c r="B18" s="12" t="s">
        <v>26</v>
      </c>
      <c r="C18" s="13" t="s">
        <v>27</v>
      </c>
      <c r="D18" s="61" t="s">
        <v>28</v>
      </c>
      <c r="E18" s="114"/>
      <c r="F18" s="115"/>
      <c r="G18" s="9"/>
      <c r="H18" s="9"/>
    </row>
    <row r="19" spans="1:257" ht="45" customHeight="1" x14ac:dyDescent="0.2">
      <c r="A19" s="11">
        <v>12</v>
      </c>
      <c r="B19" s="12" t="s">
        <v>29</v>
      </c>
      <c r="C19" s="13" t="s">
        <v>27</v>
      </c>
      <c r="D19" s="61" t="s">
        <v>28</v>
      </c>
      <c r="E19" s="62"/>
      <c r="F19" s="63"/>
      <c r="G19" s="9"/>
      <c r="H19" s="9"/>
    </row>
    <row r="20" spans="1:257" ht="45" customHeight="1" x14ac:dyDescent="0.2">
      <c r="A20" s="11">
        <v>13</v>
      </c>
      <c r="B20" s="12" t="s">
        <v>30</v>
      </c>
      <c r="C20" s="13" t="s">
        <v>23</v>
      </c>
      <c r="D20" s="61" t="s">
        <v>28</v>
      </c>
      <c r="E20" s="62"/>
      <c r="F20" s="63"/>
      <c r="G20" s="9"/>
      <c r="H20" s="9"/>
    </row>
    <row r="21" spans="1:257" ht="45" customHeight="1" thickBot="1" x14ac:dyDescent="0.25">
      <c r="A21" s="59" t="s">
        <v>31</v>
      </c>
      <c r="B21" s="60"/>
      <c r="C21" s="13">
        <f>COUNTA(C8:C20)</f>
        <v>13</v>
      </c>
      <c r="D21" s="61"/>
      <c r="E21" s="62"/>
      <c r="F21" s="63"/>
      <c r="G21" s="9"/>
      <c r="H21" s="9"/>
    </row>
    <row r="22" spans="1:257" ht="50.25" customHeight="1" thickBot="1" x14ac:dyDescent="0.25">
      <c r="A22" s="54" t="s">
        <v>32</v>
      </c>
      <c r="B22" s="55"/>
      <c r="C22" s="56"/>
      <c r="D22" s="134"/>
      <c r="E22" s="135"/>
      <c r="F22" s="135"/>
      <c r="G22" s="135"/>
      <c r="H22" s="136"/>
    </row>
    <row r="23" spans="1:257" ht="45" customHeight="1" x14ac:dyDescent="0.2">
      <c r="A23" s="11">
        <v>1</v>
      </c>
      <c r="B23" s="12" t="s">
        <v>33</v>
      </c>
      <c r="C23" s="13" t="s">
        <v>34</v>
      </c>
      <c r="D23" s="64" t="s">
        <v>12</v>
      </c>
      <c r="E23" s="65"/>
      <c r="F23" s="17"/>
      <c r="G23" s="9"/>
      <c r="H23" s="9"/>
    </row>
    <row r="24" spans="1:257" ht="45" customHeight="1" x14ac:dyDescent="0.2">
      <c r="A24" s="11">
        <v>2</v>
      </c>
      <c r="B24" s="12" t="s">
        <v>35</v>
      </c>
      <c r="C24" s="13" t="s">
        <v>36</v>
      </c>
      <c r="D24" s="124" t="s">
        <v>12</v>
      </c>
      <c r="E24" s="65"/>
      <c r="F24" s="17"/>
      <c r="G24" s="9"/>
      <c r="H24" s="9"/>
    </row>
    <row r="25" spans="1:257" ht="45" customHeight="1" x14ac:dyDescent="0.2">
      <c r="A25" s="11">
        <v>3</v>
      </c>
      <c r="B25" s="12" t="s">
        <v>37</v>
      </c>
      <c r="C25" s="13" t="s">
        <v>38</v>
      </c>
      <c r="D25" s="15">
        <v>8.3333333333333339</v>
      </c>
      <c r="E25" s="15">
        <v>6.75</v>
      </c>
      <c r="F25" s="17"/>
      <c r="G25" s="9"/>
      <c r="H25" s="9"/>
    </row>
    <row r="26" spans="1:257" ht="45" customHeight="1" x14ac:dyDescent="0.2">
      <c r="A26" s="11">
        <v>4</v>
      </c>
      <c r="B26" s="12" t="s">
        <v>39</v>
      </c>
      <c r="C26" s="13" t="s">
        <v>40</v>
      </c>
      <c r="D26" s="15">
        <v>8.3229166666666661</v>
      </c>
      <c r="E26" s="15">
        <v>6.75</v>
      </c>
      <c r="F26" s="17"/>
      <c r="G26" s="9"/>
      <c r="H26" s="9"/>
    </row>
    <row r="27" spans="1:257" ht="45" customHeight="1" x14ac:dyDescent="0.2">
      <c r="A27" s="11">
        <v>5</v>
      </c>
      <c r="B27" s="12" t="s">
        <v>41</v>
      </c>
      <c r="C27" s="13" t="s">
        <v>42</v>
      </c>
      <c r="D27" s="15">
        <v>8.3333333333333339</v>
      </c>
      <c r="E27" s="15">
        <v>6.75</v>
      </c>
      <c r="F27" s="17"/>
      <c r="G27" s="9"/>
      <c r="H27" s="9"/>
    </row>
    <row r="28" spans="1:257" ht="45" customHeight="1" x14ac:dyDescent="0.2">
      <c r="A28" s="11">
        <v>6</v>
      </c>
      <c r="B28" s="12" t="s">
        <v>159</v>
      </c>
      <c r="C28" s="13" t="s">
        <v>43</v>
      </c>
      <c r="D28" s="15">
        <v>8.375</v>
      </c>
      <c r="E28" s="15">
        <v>6.708333333333333</v>
      </c>
      <c r="F28" s="17"/>
      <c r="G28" s="9"/>
      <c r="H28" s="9"/>
    </row>
    <row r="29" spans="1:257" ht="45" customHeight="1" x14ac:dyDescent="0.2">
      <c r="A29" s="11">
        <v>7</v>
      </c>
      <c r="B29" s="12" t="s">
        <v>51</v>
      </c>
      <c r="C29" s="13" t="s">
        <v>43</v>
      </c>
      <c r="D29" s="15">
        <v>8.3229166666666661</v>
      </c>
      <c r="E29" s="15">
        <v>6.75</v>
      </c>
      <c r="F29" s="17"/>
      <c r="G29" s="9"/>
      <c r="H29" s="9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</row>
    <row r="30" spans="1:257" ht="45" customHeight="1" x14ac:dyDescent="0.2">
      <c r="A30" s="11">
        <v>8</v>
      </c>
      <c r="B30" s="12" t="s">
        <v>44</v>
      </c>
      <c r="C30" s="13" t="s">
        <v>43</v>
      </c>
      <c r="D30" s="107" t="s">
        <v>12</v>
      </c>
      <c r="E30" s="65"/>
      <c r="F30" s="17"/>
      <c r="G30" s="9"/>
      <c r="H30" s="9"/>
    </row>
    <row r="31" spans="1:257" ht="45" customHeight="1" x14ac:dyDescent="0.2">
      <c r="A31" s="11">
        <v>9</v>
      </c>
      <c r="B31" s="12" t="s">
        <v>45</v>
      </c>
      <c r="C31" s="13" t="s">
        <v>46</v>
      </c>
      <c r="D31" s="43">
        <v>8.3333333333333339</v>
      </c>
      <c r="E31" s="18">
        <v>0.75</v>
      </c>
      <c r="F31" s="17"/>
      <c r="G31" s="9"/>
      <c r="H31" s="9"/>
    </row>
    <row r="32" spans="1:257" ht="45" customHeight="1" x14ac:dyDescent="0.2">
      <c r="A32" s="11">
        <v>10</v>
      </c>
      <c r="B32" s="12" t="s">
        <v>47</v>
      </c>
      <c r="C32" s="13" t="s">
        <v>48</v>
      </c>
      <c r="D32" s="43">
        <v>8.3333333333333339</v>
      </c>
      <c r="E32" s="15">
        <v>6.708333333333333</v>
      </c>
      <c r="F32" s="17"/>
      <c r="G32" s="9"/>
      <c r="H32" s="9"/>
    </row>
    <row r="33" spans="1:8" ht="45" customHeight="1" x14ac:dyDescent="0.2">
      <c r="A33" s="11">
        <v>11</v>
      </c>
      <c r="B33" s="12" t="s">
        <v>49</v>
      </c>
      <c r="C33" s="13" t="s">
        <v>50</v>
      </c>
      <c r="D33" s="125" t="s">
        <v>165</v>
      </c>
      <c r="E33" s="126"/>
      <c r="F33" s="17"/>
      <c r="G33" s="9"/>
      <c r="H33" s="9"/>
    </row>
    <row r="34" spans="1:8" ht="45" customHeight="1" thickBot="1" x14ac:dyDescent="0.25">
      <c r="A34" s="59" t="s">
        <v>31</v>
      </c>
      <c r="B34" s="60"/>
      <c r="C34" s="13">
        <f>COUNTA(C23:C33)</f>
        <v>11</v>
      </c>
      <c r="D34" s="61"/>
      <c r="E34" s="62"/>
      <c r="F34" s="63"/>
      <c r="G34" s="9"/>
      <c r="H34" s="9"/>
    </row>
    <row r="35" spans="1:8" ht="45" customHeight="1" thickBot="1" x14ac:dyDescent="0.25">
      <c r="A35" s="54" t="s">
        <v>52</v>
      </c>
      <c r="B35" s="55"/>
      <c r="C35" s="56"/>
      <c r="D35" s="131"/>
      <c r="E35" s="132"/>
      <c r="F35" s="132"/>
      <c r="G35" s="132"/>
      <c r="H35" s="133"/>
    </row>
    <row r="36" spans="1:8" ht="39" customHeight="1" x14ac:dyDescent="0.2">
      <c r="A36" s="11">
        <v>1</v>
      </c>
      <c r="B36" s="12" t="s">
        <v>53</v>
      </c>
      <c r="C36" s="13" t="s">
        <v>54</v>
      </c>
      <c r="D36" s="66" t="s">
        <v>163</v>
      </c>
      <c r="E36" s="67"/>
      <c r="F36" s="9"/>
      <c r="G36" s="21"/>
      <c r="H36" s="10"/>
    </row>
    <row r="37" spans="1:8" ht="39" customHeight="1" x14ac:dyDescent="0.2">
      <c r="A37" s="11">
        <v>2</v>
      </c>
      <c r="B37" s="12" t="s">
        <v>55</v>
      </c>
      <c r="C37" s="13" t="s">
        <v>56</v>
      </c>
      <c r="D37" s="15">
        <v>8.3333333333333339</v>
      </c>
      <c r="E37" s="18">
        <v>0.75</v>
      </c>
      <c r="F37" s="9"/>
      <c r="G37" s="21"/>
      <c r="H37" s="10"/>
    </row>
    <row r="38" spans="1:8" ht="45" customHeight="1" x14ac:dyDescent="0.2">
      <c r="A38" s="11">
        <v>3</v>
      </c>
      <c r="B38" s="12" t="s">
        <v>57</v>
      </c>
      <c r="C38" s="13" t="s">
        <v>58</v>
      </c>
      <c r="D38" s="123" t="s">
        <v>28</v>
      </c>
      <c r="E38" s="60"/>
      <c r="F38" s="9"/>
      <c r="G38" s="21"/>
      <c r="H38" s="10"/>
    </row>
    <row r="39" spans="1:8" ht="45" customHeight="1" x14ac:dyDescent="0.2">
      <c r="A39" s="90" t="s">
        <v>31</v>
      </c>
      <c r="B39" s="56"/>
      <c r="C39" s="19">
        <f>COUNTA(C36:C38)</f>
        <v>3</v>
      </c>
      <c r="D39" s="102"/>
      <c r="E39" s="55"/>
      <c r="F39" s="55"/>
      <c r="G39" s="55"/>
      <c r="H39" s="55"/>
    </row>
    <row r="40" spans="1:8" ht="34.5" customHeight="1" x14ac:dyDescent="0.2">
      <c r="C40" s="5"/>
      <c r="H40" s="6" t="s">
        <v>59</v>
      </c>
    </row>
    <row r="41" spans="1:8" ht="39" customHeight="1" x14ac:dyDescent="0.2">
      <c r="A41" s="91" t="s">
        <v>0</v>
      </c>
      <c r="B41" s="140" t="s">
        <v>1</v>
      </c>
      <c r="C41" s="121" t="s">
        <v>2</v>
      </c>
      <c r="D41" s="103" t="s">
        <v>3</v>
      </c>
      <c r="E41" s="75"/>
      <c r="F41" s="116" t="s">
        <v>4</v>
      </c>
      <c r="G41" s="74" t="s">
        <v>5</v>
      </c>
      <c r="H41" s="74" t="s">
        <v>6</v>
      </c>
    </row>
    <row r="42" spans="1:8" ht="39" customHeight="1" thickBot="1" x14ac:dyDescent="0.25">
      <c r="A42" s="92"/>
      <c r="B42" s="141"/>
      <c r="C42" s="122"/>
      <c r="D42" s="22" t="s">
        <v>7</v>
      </c>
      <c r="E42" s="23" t="s">
        <v>60</v>
      </c>
      <c r="F42" s="71"/>
      <c r="G42" s="71"/>
      <c r="H42" s="71"/>
    </row>
    <row r="43" spans="1:8" ht="50.25" customHeight="1" thickBot="1" x14ac:dyDescent="0.25">
      <c r="A43" s="54" t="s">
        <v>61</v>
      </c>
      <c r="B43" s="55"/>
      <c r="C43" s="56"/>
      <c r="D43" s="134"/>
      <c r="E43" s="135"/>
      <c r="F43" s="135"/>
      <c r="G43" s="135"/>
      <c r="H43" s="136"/>
    </row>
    <row r="44" spans="1:8" ht="39" customHeight="1" x14ac:dyDescent="0.2">
      <c r="A44" s="11">
        <v>1</v>
      </c>
      <c r="B44" s="12" t="s">
        <v>62</v>
      </c>
      <c r="C44" s="13" t="s">
        <v>63</v>
      </c>
      <c r="D44" s="18"/>
      <c r="E44" s="18"/>
      <c r="F44" s="17"/>
      <c r="G44" s="9"/>
      <c r="H44" s="9"/>
    </row>
    <row r="45" spans="1:8" ht="39" customHeight="1" x14ac:dyDescent="0.2">
      <c r="A45" s="11">
        <v>2</v>
      </c>
      <c r="B45" s="12" t="s">
        <v>64</v>
      </c>
      <c r="C45" s="13" t="s">
        <v>65</v>
      </c>
      <c r="D45" s="18"/>
      <c r="E45" s="18"/>
      <c r="F45" s="17"/>
      <c r="G45" s="9"/>
      <c r="H45" s="9"/>
    </row>
    <row r="46" spans="1:8" ht="39" customHeight="1" x14ac:dyDescent="0.2">
      <c r="A46" s="11">
        <v>3</v>
      </c>
      <c r="B46" s="12" t="s">
        <v>66</v>
      </c>
      <c r="C46" s="13" t="s">
        <v>38</v>
      </c>
      <c r="D46" s="18"/>
      <c r="E46" s="18"/>
      <c r="F46" s="17"/>
      <c r="G46" s="9"/>
      <c r="H46" s="9"/>
    </row>
    <row r="47" spans="1:8" ht="39" customHeight="1" x14ac:dyDescent="0.2">
      <c r="A47" s="11">
        <v>4</v>
      </c>
      <c r="B47" s="12" t="s">
        <v>67</v>
      </c>
      <c r="C47" s="13" t="s">
        <v>68</v>
      </c>
      <c r="D47" s="18"/>
      <c r="E47" s="18"/>
      <c r="F47" s="17"/>
      <c r="G47" s="9"/>
      <c r="H47" s="9"/>
    </row>
    <row r="48" spans="1:8" ht="39" customHeight="1" x14ac:dyDescent="0.2">
      <c r="A48" s="11">
        <v>5</v>
      </c>
      <c r="B48" s="12" t="s">
        <v>69</v>
      </c>
      <c r="C48" s="13" t="s">
        <v>70</v>
      </c>
      <c r="D48" s="18" t="s">
        <v>71</v>
      </c>
      <c r="E48" s="18">
        <v>0.70833333333333337</v>
      </c>
      <c r="F48" s="17"/>
      <c r="G48" s="9"/>
      <c r="H48" s="9"/>
    </row>
    <row r="49" spans="1:8" ht="39" customHeight="1" x14ac:dyDescent="0.2">
      <c r="A49" s="11">
        <v>6</v>
      </c>
      <c r="B49" s="12" t="s">
        <v>72</v>
      </c>
      <c r="C49" s="13" t="s">
        <v>70</v>
      </c>
      <c r="D49" s="18"/>
      <c r="E49" s="18"/>
      <c r="F49" s="17"/>
      <c r="G49" s="9"/>
      <c r="H49" s="9"/>
    </row>
    <row r="50" spans="1:8" ht="39" customHeight="1" thickBot="1" x14ac:dyDescent="0.25">
      <c r="A50" s="11">
        <v>7</v>
      </c>
      <c r="B50" s="12" t="s">
        <v>73</v>
      </c>
      <c r="C50" s="13" t="s">
        <v>74</v>
      </c>
      <c r="D50" s="18"/>
      <c r="E50" s="18"/>
      <c r="F50" s="17"/>
      <c r="G50" s="9"/>
      <c r="H50" s="9"/>
    </row>
    <row r="51" spans="1:8" ht="45" customHeight="1" thickBot="1" x14ac:dyDescent="0.25">
      <c r="A51" s="90" t="s">
        <v>31</v>
      </c>
      <c r="B51" s="56"/>
      <c r="C51" s="19">
        <f>COUNTA(C44:C50)</f>
        <v>7</v>
      </c>
      <c r="D51" s="102"/>
      <c r="E51" s="55"/>
      <c r="F51" s="55"/>
      <c r="G51" s="55"/>
      <c r="H51" s="55"/>
    </row>
    <row r="52" spans="1:8" ht="39" customHeight="1" thickBot="1" x14ac:dyDescent="0.25">
      <c r="A52" s="54" t="s">
        <v>75</v>
      </c>
      <c r="B52" s="55"/>
      <c r="C52" s="56"/>
      <c r="D52" s="85"/>
      <c r="E52" s="86"/>
      <c r="F52" s="86"/>
      <c r="G52" s="86"/>
      <c r="H52" s="87"/>
    </row>
    <row r="53" spans="1:8" ht="45" customHeight="1" x14ac:dyDescent="0.2">
      <c r="A53" s="11">
        <v>1</v>
      </c>
      <c r="B53" s="12" t="s">
        <v>76</v>
      </c>
      <c r="C53" s="13" t="s">
        <v>77</v>
      </c>
      <c r="D53" s="20"/>
      <c r="E53" s="20"/>
      <c r="F53" s="9"/>
      <c r="G53" s="9"/>
      <c r="H53" s="10"/>
    </row>
    <row r="54" spans="1:8" ht="45" customHeight="1" x14ac:dyDescent="0.2">
      <c r="A54" s="11">
        <v>2</v>
      </c>
      <c r="B54" s="12" t="s">
        <v>78</v>
      </c>
      <c r="C54" s="13" t="s">
        <v>77</v>
      </c>
      <c r="D54" s="18"/>
      <c r="E54" s="20"/>
      <c r="F54" s="9"/>
      <c r="G54" s="9"/>
      <c r="H54" s="10"/>
    </row>
    <row r="55" spans="1:8" ht="45" customHeight="1" x14ac:dyDescent="0.2">
      <c r="A55" s="11">
        <v>3</v>
      </c>
      <c r="B55" s="12" t="s">
        <v>79</v>
      </c>
      <c r="C55" s="13" t="s">
        <v>80</v>
      </c>
      <c r="D55" s="18">
        <v>0.33333333333333331</v>
      </c>
      <c r="E55" s="18" t="s">
        <v>164</v>
      </c>
      <c r="F55" s="9"/>
      <c r="G55" s="9"/>
      <c r="H55" s="10"/>
    </row>
    <row r="56" spans="1:8" ht="45" customHeight="1" x14ac:dyDescent="0.2">
      <c r="A56" s="11">
        <v>4</v>
      </c>
      <c r="B56" s="12" t="s">
        <v>81</v>
      </c>
      <c r="C56" s="13" t="s">
        <v>82</v>
      </c>
      <c r="D56" s="20"/>
      <c r="E56" s="20"/>
      <c r="F56" s="9"/>
      <c r="G56" s="9"/>
      <c r="H56" s="10"/>
    </row>
    <row r="57" spans="1:8" ht="45" customHeight="1" x14ac:dyDescent="0.2">
      <c r="A57" s="11">
        <v>5</v>
      </c>
      <c r="B57" s="12" t="s">
        <v>83</v>
      </c>
      <c r="C57" s="13" t="s">
        <v>84</v>
      </c>
      <c r="D57" s="18">
        <v>0.29166666666666669</v>
      </c>
      <c r="E57" s="18">
        <v>0.72916666666666663</v>
      </c>
      <c r="F57" s="9"/>
      <c r="G57" s="9"/>
      <c r="H57" s="10"/>
    </row>
    <row r="58" spans="1:8" ht="45" customHeight="1" x14ac:dyDescent="0.2">
      <c r="A58" s="11">
        <v>6</v>
      </c>
      <c r="B58" s="12" t="s">
        <v>85</v>
      </c>
      <c r="C58" s="13" t="s">
        <v>82</v>
      </c>
      <c r="D58" s="18">
        <v>0.29166666666666669</v>
      </c>
      <c r="E58" s="15">
        <v>8.7083333333333339</v>
      </c>
      <c r="F58" s="9"/>
      <c r="G58" s="9"/>
      <c r="H58" s="10"/>
    </row>
    <row r="59" spans="1:8" ht="45" customHeight="1" x14ac:dyDescent="0.2">
      <c r="A59" s="11">
        <v>7</v>
      </c>
      <c r="B59" s="12" t="s">
        <v>86</v>
      </c>
      <c r="C59" s="13" t="s">
        <v>82</v>
      </c>
      <c r="D59" s="18">
        <v>0.29166666666666669</v>
      </c>
      <c r="E59" s="15">
        <v>0.70833333333333337</v>
      </c>
      <c r="F59" s="9"/>
      <c r="G59" s="9"/>
      <c r="H59" s="10"/>
    </row>
    <row r="60" spans="1:8" ht="45" customHeight="1" x14ac:dyDescent="0.2">
      <c r="A60" s="11">
        <v>8</v>
      </c>
      <c r="B60" s="12" t="s">
        <v>87</v>
      </c>
      <c r="C60" s="13" t="s">
        <v>88</v>
      </c>
      <c r="D60" s="72" t="s">
        <v>28</v>
      </c>
      <c r="E60" s="63"/>
      <c r="F60" s="9"/>
      <c r="G60" s="9"/>
      <c r="H60" s="10"/>
    </row>
    <row r="61" spans="1:8" ht="45" customHeight="1" thickBot="1" x14ac:dyDescent="0.25">
      <c r="A61" s="90" t="s">
        <v>31</v>
      </c>
      <c r="B61" s="56"/>
      <c r="C61" s="19">
        <f>COUNTA(C53:C60)</f>
        <v>8</v>
      </c>
      <c r="D61" s="20"/>
      <c r="E61" s="20"/>
      <c r="F61" s="9"/>
      <c r="G61" s="10"/>
      <c r="H61" s="24"/>
    </row>
    <row r="62" spans="1:8" ht="45" customHeight="1" thickBot="1" x14ac:dyDescent="0.25">
      <c r="A62" s="54" t="s">
        <v>89</v>
      </c>
      <c r="B62" s="55"/>
      <c r="C62" s="56"/>
      <c r="D62" s="82"/>
      <c r="E62" s="83"/>
      <c r="F62" s="83"/>
      <c r="G62" s="83"/>
      <c r="H62" s="84"/>
    </row>
    <row r="63" spans="1:8" ht="39" customHeight="1" thickBot="1" x14ac:dyDescent="0.25">
      <c r="A63" s="11">
        <v>1</v>
      </c>
      <c r="B63" s="12" t="s">
        <v>90</v>
      </c>
      <c r="C63" s="13" t="s">
        <v>91</v>
      </c>
      <c r="D63" s="50">
        <v>0.34722222222222227</v>
      </c>
      <c r="E63" s="51">
        <v>0.72916666666666663</v>
      </c>
      <c r="F63" s="9"/>
      <c r="G63" s="9"/>
      <c r="H63" s="10"/>
    </row>
    <row r="64" spans="1:8" ht="45" customHeight="1" thickBot="1" x14ac:dyDescent="0.25">
      <c r="A64" s="54" t="s">
        <v>92</v>
      </c>
      <c r="B64" s="55"/>
      <c r="C64" s="56"/>
      <c r="D64" s="82"/>
      <c r="E64" s="83"/>
      <c r="F64" s="83"/>
      <c r="G64" s="83"/>
      <c r="H64" s="84"/>
    </row>
    <row r="65" spans="1:8" ht="39" customHeight="1" x14ac:dyDescent="0.2">
      <c r="A65" s="11">
        <v>1</v>
      </c>
      <c r="B65" s="12" t="s">
        <v>93</v>
      </c>
      <c r="C65" s="13" t="s">
        <v>94</v>
      </c>
      <c r="D65" s="105" t="s">
        <v>160</v>
      </c>
      <c r="E65" s="106"/>
      <c r="F65" s="9"/>
      <c r="G65" s="9"/>
      <c r="H65" s="10"/>
    </row>
    <row r="66" spans="1:8" ht="39" customHeight="1" thickBot="1" x14ac:dyDescent="0.25">
      <c r="A66" s="42">
        <v>2</v>
      </c>
      <c r="B66" s="25" t="s">
        <v>96</v>
      </c>
      <c r="C66" s="26" t="s">
        <v>97</v>
      </c>
      <c r="D66" s="18">
        <v>0.33333333333333331</v>
      </c>
      <c r="E66" s="18">
        <v>0.70833333333333337</v>
      </c>
      <c r="F66" s="9"/>
      <c r="G66" s="9"/>
      <c r="H66" s="9"/>
    </row>
    <row r="67" spans="1:8" ht="45" customHeight="1" thickBot="1" x14ac:dyDescent="0.25">
      <c r="A67" s="90" t="s">
        <v>31</v>
      </c>
      <c r="B67" s="56"/>
      <c r="C67" s="19">
        <f>COUNTA(C65:C66)</f>
        <v>2</v>
      </c>
      <c r="D67" s="20"/>
      <c r="E67" s="20"/>
      <c r="F67" s="9"/>
      <c r="G67" s="10"/>
      <c r="H67" s="24"/>
    </row>
    <row r="68" spans="1:8" ht="45" customHeight="1" thickBot="1" x14ac:dyDescent="0.25">
      <c r="A68" s="54" t="s">
        <v>98</v>
      </c>
      <c r="B68" s="55"/>
      <c r="C68" s="56"/>
      <c r="D68" s="82"/>
      <c r="E68" s="83"/>
      <c r="F68" s="83"/>
      <c r="G68" s="83"/>
      <c r="H68" s="84"/>
    </row>
    <row r="69" spans="1:8" ht="39" customHeight="1" thickBot="1" x14ac:dyDescent="0.25">
      <c r="A69" s="11">
        <v>1</v>
      </c>
      <c r="B69" s="12" t="s">
        <v>99</v>
      </c>
      <c r="C69" s="13" t="s">
        <v>100</v>
      </c>
      <c r="D69" s="18">
        <v>0.33333333333333331</v>
      </c>
      <c r="E69" s="18">
        <v>0.75</v>
      </c>
      <c r="F69" s="9"/>
      <c r="G69" s="9"/>
      <c r="H69" s="10"/>
    </row>
    <row r="70" spans="1:8" ht="45" customHeight="1" thickBot="1" x14ac:dyDescent="0.25">
      <c r="A70" s="54" t="s">
        <v>101</v>
      </c>
      <c r="B70" s="55"/>
      <c r="C70" s="56"/>
      <c r="D70" s="82"/>
      <c r="E70" s="83"/>
      <c r="F70" s="83"/>
      <c r="G70" s="83"/>
      <c r="H70" s="84"/>
    </row>
    <row r="71" spans="1:8" ht="39" customHeight="1" x14ac:dyDescent="0.2">
      <c r="A71" s="11">
        <v>1</v>
      </c>
      <c r="B71" s="12" t="s">
        <v>102</v>
      </c>
      <c r="C71" s="13" t="s">
        <v>103</v>
      </c>
      <c r="D71" s="15"/>
      <c r="E71" s="18"/>
      <c r="F71" s="9"/>
      <c r="G71" s="9"/>
      <c r="H71" s="10"/>
    </row>
    <row r="72" spans="1:8" ht="39" customHeight="1" x14ac:dyDescent="0.2">
      <c r="A72" s="11">
        <v>2</v>
      </c>
      <c r="B72" s="12" t="s">
        <v>104</v>
      </c>
      <c r="C72" s="13" t="s">
        <v>105</v>
      </c>
      <c r="D72" s="18">
        <v>0.33333333333333331</v>
      </c>
      <c r="E72" s="18">
        <v>0.75</v>
      </c>
      <c r="F72" s="9"/>
      <c r="G72" s="9"/>
      <c r="H72" s="10"/>
    </row>
    <row r="73" spans="1:8" ht="39" customHeight="1" thickBot="1" x14ac:dyDescent="0.25">
      <c r="A73" s="11">
        <v>3</v>
      </c>
      <c r="B73" s="12" t="s">
        <v>106</v>
      </c>
      <c r="C73" s="13" t="s">
        <v>107</v>
      </c>
      <c r="D73" s="18">
        <v>0.33333333333333331</v>
      </c>
      <c r="E73" s="18">
        <v>0.75</v>
      </c>
      <c r="F73" s="9"/>
      <c r="G73" s="9"/>
      <c r="H73" s="10"/>
    </row>
    <row r="74" spans="1:8" ht="45" customHeight="1" thickBot="1" x14ac:dyDescent="0.25">
      <c r="A74" s="90" t="s">
        <v>31</v>
      </c>
      <c r="B74" s="56"/>
      <c r="C74" s="19">
        <f>COUNTA(C71:C73)</f>
        <v>3</v>
      </c>
      <c r="D74" s="20"/>
      <c r="E74" s="20"/>
      <c r="F74" s="9"/>
      <c r="G74" s="10"/>
      <c r="H74" s="24"/>
    </row>
    <row r="75" spans="1:8" ht="45" customHeight="1" thickBot="1" x14ac:dyDescent="0.25">
      <c r="A75" s="54" t="s">
        <v>108</v>
      </c>
      <c r="B75" s="55"/>
      <c r="C75" s="56"/>
      <c r="D75" s="82"/>
      <c r="E75" s="83"/>
      <c r="F75" s="83"/>
      <c r="G75" s="83"/>
      <c r="H75" s="84"/>
    </row>
    <row r="76" spans="1:8" ht="39" customHeight="1" x14ac:dyDescent="0.2">
      <c r="A76" s="11">
        <v>1</v>
      </c>
      <c r="B76" s="12" t="s">
        <v>109</v>
      </c>
      <c r="C76" s="13" t="s">
        <v>110</v>
      </c>
      <c r="D76" s="52" t="s">
        <v>165</v>
      </c>
      <c r="E76" s="53"/>
      <c r="F76" s="9"/>
      <c r="G76" s="9"/>
      <c r="H76" s="10"/>
    </row>
    <row r="77" spans="1:8" ht="39" customHeight="1" x14ac:dyDescent="0.2">
      <c r="A77" s="11">
        <v>2</v>
      </c>
      <c r="B77" s="12" t="s">
        <v>111</v>
      </c>
      <c r="C77" s="13" t="s">
        <v>112</v>
      </c>
      <c r="D77" s="18">
        <v>0.33333333333333298</v>
      </c>
      <c r="E77" s="18">
        <v>0.75</v>
      </c>
      <c r="F77" s="9"/>
      <c r="G77" s="9"/>
      <c r="H77" s="10"/>
    </row>
    <row r="78" spans="1:8" ht="39" customHeight="1" thickBot="1" x14ac:dyDescent="0.25">
      <c r="A78" s="11">
        <v>2</v>
      </c>
      <c r="B78" s="12" t="s">
        <v>113</v>
      </c>
      <c r="C78" s="13" t="s">
        <v>114</v>
      </c>
      <c r="D78" s="18">
        <v>0.33333333333333331</v>
      </c>
      <c r="E78" s="18">
        <v>0.75</v>
      </c>
      <c r="F78" s="9"/>
      <c r="G78" s="9"/>
      <c r="H78" s="10"/>
    </row>
    <row r="79" spans="1:8" ht="45" customHeight="1" thickBot="1" x14ac:dyDescent="0.25">
      <c r="A79" s="90" t="s">
        <v>31</v>
      </c>
      <c r="B79" s="56"/>
      <c r="C79" s="19">
        <f>COUNTA(C76:C78)</f>
        <v>3</v>
      </c>
      <c r="D79" s="20"/>
      <c r="E79" s="20"/>
      <c r="F79" s="9"/>
      <c r="G79" s="10"/>
      <c r="H79" s="24"/>
    </row>
    <row r="80" spans="1:8" ht="34.5" customHeight="1" thickBot="1" x14ac:dyDescent="0.25">
      <c r="A80" s="127"/>
      <c r="B80" s="127"/>
      <c r="C80" s="127"/>
      <c r="D80" s="127"/>
      <c r="E80" s="127"/>
      <c r="F80" s="127"/>
      <c r="G80" s="128"/>
      <c r="H80" s="6" t="s">
        <v>59</v>
      </c>
    </row>
    <row r="81" spans="1:257" ht="45" customHeight="1" thickBot="1" x14ac:dyDescent="0.25">
      <c r="A81" s="93" t="s">
        <v>0</v>
      </c>
      <c r="B81" s="94" t="s">
        <v>115</v>
      </c>
      <c r="C81" s="94" t="s">
        <v>2</v>
      </c>
      <c r="D81" s="104" t="s">
        <v>3</v>
      </c>
      <c r="E81" s="63"/>
      <c r="F81" s="70" t="s">
        <v>4</v>
      </c>
      <c r="G81" s="108" t="s">
        <v>5</v>
      </c>
      <c r="H81" s="100" t="s">
        <v>6</v>
      </c>
    </row>
    <row r="82" spans="1:257" ht="24.75" customHeight="1" thickBot="1" x14ac:dyDescent="0.25">
      <c r="A82" s="92"/>
      <c r="B82" s="95"/>
      <c r="C82" s="95"/>
      <c r="D82" s="27" t="s">
        <v>116</v>
      </c>
      <c r="E82" s="27" t="s">
        <v>60</v>
      </c>
      <c r="F82" s="71"/>
      <c r="G82" s="71"/>
      <c r="H82" s="101"/>
    </row>
    <row r="83" spans="1:257" ht="39" customHeight="1" thickBot="1" x14ac:dyDescent="0.25">
      <c r="A83" s="54" t="s">
        <v>117</v>
      </c>
      <c r="B83" s="55"/>
      <c r="C83" s="56"/>
      <c r="D83" s="129"/>
      <c r="E83" s="130"/>
      <c r="F83" s="130"/>
      <c r="G83" s="130"/>
      <c r="H83" s="67"/>
    </row>
    <row r="84" spans="1:257" ht="45" customHeight="1" thickBot="1" x14ac:dyDescent="0.25">
      <c r="A84" s="11">
        <v>1</v>
      </c>
      <c r="B84" s="28" t="s">
        <v>118</v>
      </c>
      <c r="C84" s="29" t="s">
        <v>119</v>
      </c>
      <c r="D84" s="18"/>
      <c r="E84" s="18"/>
      <c r="F84" s="17"/>
      <c r="G84" s="9"/>
      <c r="H84" s="9"/>
    </row>
    <row r="85" spans="1:257" ht="45" customHeight="1" thickBot="1" x14ac:dyDescent="0.25">
      <c r="A85" s="54" t="s">
        <v>120</v>
      </c>
      <c r="B85" s="55"/>
      <c r="C85" s="56"/>
      <c r="D85" s="82"/>
      <c r="E85" s="83"/>
      <c r="F85" s="83"/>
      <c r="G85" s="83"/>
      <c r="H85" s="84"/>
    </row>
    <row r="86" spans="1:257" ht="39" customHeight="1" x14ac:dyDescent="0.2">
      <c r="A86" s="11">
        <v>1</v>
      </c>
      <c r="B86" s="12" t="s">
        <v>121</v>
      </c>
      <c r="C86" s="13" t="s">
        <v>122</v>
      </c>
      <c r="D86" s="72" t="s">
        <v>123</v>
      </c>
      <c r="E86" s="63"/>
      <c r="F86" s="9"/>
      <c r="G86" s="9"/>
      <c r="H86" s="10"/>
    </row>
    <row r="87" spans="1:257" ht="39" customHeight="1" x14ac:dyDescent="0.2">
      <c r="A87" s="11">
        <v>2</v>
      </c>
      <c r="B87" s="12" t="s">
        <v>124</v>
      </c>
      <c r="C87" s="30" t="s">
        <v>20</v>
      </c>
      <c r="D87" s="80" t="s">
        <v>167</v>
      </c>
      <c r="E87" s="81"/>
      <c r="F87" s="9"/>
      <c r="G87" s="9"/>
      <c r="H87" s="10"/>
    </row>
    <row r="88" spans="1:257" ht="39" customHeight="1" thickBot="1" x14ac:dyDescent="0.25">
      <c r="A88" s="11">
        <v>3</v>
      </c>
      <c r="B88" s="12" t="s">
        <v>125</v>
      </c>
      <c r="C88" s="13" t="s">
        <v>20</v>
      </c>
      <c r="D88" s="18">
        <v>0.35416666666666669</v>
      </c>
      <c r="E88" s="18">
        <v>0.76388888888888884</v>
      </c>
      <c r="F88" s="9"/>
      <c r="G88" s="9"/>
      <c r="H88" s="10"/>
    </row>
    <row r="89" spans="1:257" ht="45" customHeight="1" thickBot="1" x14ac:dyDescent="0.25">
      <c r="A89" s="90" t="s">
        <v>31</v>
      </c>
      <c r="B89" s="56"/>
      <c r="C89" s="19">
        <f>COUNTA(C86:C88)</f>
        <v>3</v>
      </c>
      <c r="D89" s="20"/>
      <c r="E89" s="20"/>
      <c r="F89" s="9"/>
      <c r="G89" s="10"/>
      <c r="H89" s="24"/>
    </row>
    <row r="90" spans="1:257" ht="45" customHeight="1" thickBot="1" x14ac:dyDescent="0.25">
      <c r="A90" s="54" t="s">
        <v>126</v>
      </c>
      <c r="B90" s="55"/>
      <c r="C90" s="56"/>
      <c r="D90" s="82"/>
      <c r="E90" s="83"/>
      <c r="F90" s="83"/>
      <c r="G90" s="83"/>
      <c r="H90" s="84"/>
    </row>
    <row r="91" spans="1:257" ht="39" customHeight="1" x14ac:dyDescent="0.2">
      <c r="A91" s="11">
        <v>1</v>
      </c>
      <c r="B91" s="12" t="s">
        <v>127</v>
      </c>
      <c r="C91" s="13" t="s">
        <v>128</v>
      </c>
      <c r="D91" s="18">
        <v>0.33333333333333331</v>
      </c>
      <c r="E91" s="18">
        <v>0.75</v>
      </c>
      <c r="F91" s="9"/>
      <c r="G91" s="9"/>
      <c r="H91" s="10"/>
    </row>
    <row r="92" spans="1:257" ht="39" customHeight="1" x14ac:dyDescent="0.2">
      <c r="A92" s="11">
        <v>2</v>
      </c>
      <c r="B92" s="12" t="s">
        <v>129</v>
      </c>
      <c r="C92" s="13" t="s">
        <v>130</v>
      </c>
      <c r="D92" s="18">
        <v>0.33333333333333331</v>
      </c>
      <c r="E92" s="18">
        <v>0.70833333333333337</v>
      </c>
      <c r="F92" s="9"/>
      <c r="G92" s="9"/>
      <c r="H92" s="10"/>
    </row>
    <row r="93" spans="1:257" ht="39" customHeight="1" x14ac:dyDescent="0.2">
      <c r="A93" s="11">
        <v>3</v>
      </c>
      <c r="B93" s="12" t="s">
        <v>131</v>
      </c>
      <c r="C93" s="13" t="s">
        <v>130</v>
      </c>
      <c r="D93" s="18">
        <v>0.33333333333333331</v>
      </c>
      <c r="E93" s="18">
        <v>0.70833333333333337</v>
      </c>
      <c r="F93" s="9"/>
      <c r="G93" s="9"/>
      <c r="H93" s="10"/>
    </row>
    <row r="94" spans="1:257" ht="39" customHeight="1" thickBot="1" x14ac:dyDescent="0.25">
      <c r="A94" s="11">
        <v>4</v>
      </c>
      <c r="B94" s="12" t="s">
        <v>161</v>
      </c>
      <c r="C94" s="13" t="s">
        <v>162</v>
      </c>
      <c r="D94" s="18">
        <v>0.33333333333333331</v>
      </c>
      <c r="E94" s="18">
        <v>0.75</v>
      </c>
      <c r="F94" s="9"/>
      <c r="G94" s="9"/>
      <c r="H94" s="10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  <c r="BS94" s="38"/>
      <c r="BT94" s="38"/>
      <c r="BU94" s="38"/>
      <c r="BV94" s="38"/>
      <c r="BW94" s="38"/>
      <c r="BX94" s="38"/>
      <c r="BY94" s="38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8"/>
      <c r="DA94" s="38"/>
      <c r="DB94" s="38"/>
      <c r="DC94" s="38"/>
      <c r="DD94" s="38"/>
      <c r="DE94" s="38"/>
      <c r="DF94" s="38"/>
      <c r="DG94" s="38"/>
      <c r="DH94" s="38"/>
      <c r="DI94" s="38"/>
      <c r="DJ94" s="38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8"/>
      <c r="EN94" s="38"/>
      <c r="EO94" s="38"/>
      <c r="EP94" s="38"/>
      <c r="EQ94" s="38"/>
      <c r="ER94" s="38"/>
      <c r="ES94" s="38"/>
      <c r="ET94" s="38"/>
      <c r="EU94" s="38"/>
      <c r="EV94" s="38"/>
      <c r="EW94" s="38"/>
      <c r="EX94" s="38"/>
      <c r="EY94" s="38"/>
      <c r="EZ94" s="38"/>
      <c r="FA94" s="38"/>
      <c r="FB94" s="38"/>
      <c r="FC94" s="38"/>
      <c r="FD94" s="38"/>
      <c r="FE94" s="38"/>
      <c r="FF94" s="38"/>
      <c r="FG94" s="38"/>
      <c r="FH94" s="38"/>
      <c r="FI94" s="38"/>
      <c r="FJ94" s="38"/>
      <c r="FK94" s="38"/>
      <c r="FL94" s="38"/>
      <c r="FM94" s="38"/>
      <c r="FN94" s="38"/>
      <c r="FO94" s="38"/>
      <c r="FP94" s="38"/>
      <c r="FQ94" s="38"/>
      <c r="FR94" s="38"/>
      <c r="FS94" s="38"/>
      <c r="FT94" s="38"/>
      <c r="FU94" s="38"/>
      <c r="FV94" s="38"/>
      <c r="FW94" s="38"/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  <c r="HI94" s="38"/>
      <c r="HJ94" s="38"/>
      <c r="HK94" s="38"/>
      <c r="HL94" s="38"/>
      <c r="HM94" s="38"/>
      <c r="HN94" s="38"/>
      <c r="HO94" s="38"/>
      <c r="HP94" s="38"/>
      <c r="HQ94" s="38"/>
      <c r="HR94" s="38"/>
      <c r="HS94" s="38"/>
      <c r="HT94" s="38"/>
      <c r="HU94" s="38"/>
      <c r="HV94" s="38"/>
      <c r="HW94" s="38"/>
      <c r="HX94" s="38"/>
      <c r="HY94" s="38"/>
      <c r="HZ94" s="38"/>
      <c r="IA94" s="38"/>
      <c r="IB94" s="38"/>
      <c r="IC94" s="38"/>
      <c r="ID94" s="38"/>
      <c r="IE94" s="38"/>
      <c r="IF94" s="38"/>
      <c r="IG94" s="38"/>
      <c r="IH94" s="38"/>
      <c r="II94" s="38"/>
      <c r="IJ94" s="38"/>
      <c r="IK94" s="38"/>
      <c r="IL94" s="38"/>
      <c r="IM94" s="38"/>
      <c r="IN94" s="38"/>
      <c r="IO94" s="38"/>
      <c r="IP94" s="38"/>
      <c r="IQ94" s="38"/>
      <c r="IR94" s="38"/>
      <c r="IS94" s="38"/>
      <c r="IT94" s="38"/>
      <c r="IU94" s="38"/>
      <c r="IV94" s="38"/>
      <c r="IW94" s="38"/>
    </row>
    <row r="95" spans="1:257" ht="45" customHeight="1" thickBot="1" x14ac:dyDescent="0.25">
      <c r="A95" s="90" t="s">
        <v>31</v>
      </c>
      <c r="B95" s="56"/>
      <c r="C95" s="19">
        <f>COUNTA(C91:C94)</f>
        <v>4</v>
      </c>
      <c r="D95" s="20"/>
      <c r="E95" s="20"/>
      <c r="F95" s="9"/>
      <c r="G95" s="10"/>
      <c r="H95" s="24"/>
    </row>
    <row r="96" spans="1:257" ht="45" customHeight="1" thickBot="1" x14ac:dyDescent="0.25">
      <c r="A96" s="54" t="s">
        <v>132</v>
      </c>
      <c r="B96" s="55"/>
      <c r="C96" s="56"/>
      <c r="D96" s="82"/>
      <c r="E96" s="83"/>
      <c r="F96" s="83"/>
      <c r="G96" s="83"/>
      <c r="H96" s="84"/>
    </row>
    <row r="97" spans="1:13" ht="39" customHeight="1" thickBot="1" x14ac:dyDescent="0.25">
      <c r="A97" s="11">
        <v>1</v>
      </c>
      <c r="B97" s="12" t="s">
        <v>133</v>
      </c>
      <c r="C97" s="13" t="s">
        <v>134</v>
      </c>
      <c r="D97" s="18">
        <v>0.34722222222222227</v>
      </c>
      <c r="E97" s="18">
        <v>0.79166666666666663</v>
      </c>
      <c r="F97" s="9"/>
      <c r="G97" s="9"/>
      <c r="H97" s="10"/>
    </row>
    <row r="98" spans="1:13" ht="45" customHeight="1" thickBot="1" x14ac:dyDescent="0.25">
      <c r="A98" s="54" t="s">
        <v>135</v>
      </c>
      <c r="B98" s="55"/>
      <c r="C98" s="56"/>
      <c r="D98" s="82"/>
      <c r="E98" s="83"/>
      <c r="F98" s="83"/>
      <c r="G98" s="83"/>
      <c r="H98" s="84"/>
    </row>
    <row r="99" spans="1:13" ht="39" customHeight="1" x14ac:dyDescent="0.2">
      <c r="A99" s="11">
        <v>1</v>
      </c>
      <c r="B99" s="12" t="s">
        <v>136</v>
      </c>
      <c r="C99" s="13" t="s">
        <v>137</v>
      </c>
      <c r="D99" s="72" t="s">
        <v>123</v>
      </c>
      <c r="E99" s="63"/>
      <c r="F99" s="9"/>
      <c r="G99" s="9"/>
      <c r="H99" s="10"/>
    </row>
    <row r="100" spans="1:13" ht="39" customHeight="1" x14ac:dyDescent="0.2">
      <c r="A100" s="11">
        <v>2</v>
      </c>
      <c r="B100" s="12" t="s">
        <v>138</v>
      </c>
      <c r="C100" s="13" t="s">
        <v>139</v>
      </c>
      <c r="D100" s="48">
        <v>0.33333333333333331</v>
      </c>
      <c r="E100" s="49">
        <v>0.75</v>
      </c>
      <c r="F100" s="9"/>
      <c r="G100" s="9"/>
      <c r="H100" s="10"/>
    </row>
    <row r="101" spans="1:13" ht="39" customHeight="1" x14ac:dyDescent="0.2">
      <c r="A101" s="11">
        <v>3</v>
      </c>
      <c r="B101" s="12" t="s">
        <v>140</v>
      </c>
      <c r="C101" s="13" t="s">
        <v>141</v>
      </c>
      <c r="D101" s="18">
        <v>0.29166666666666669</v>
      </c>
      <c r="E101" s="18">
        <v>0.70833333333333337</v>
      </c>
      <c r="F101" s="9"/>
      <c r="G101" s="9"/>
      <c r="H101" s="10"/>
      <c r="K101" s="2" t="s">
        <v>95</v>
      </c>
    </row>
    <row r="102" spans="1:13" ht="39" customHeight="1" x14ac:dyDescent="0.2">
      <c r="A102" s="11">
        <v>4</v>
      </c>
      <c r="B102" s="12" t="s">
        <v>142</v>
      </c>
      <c r="C102" s="13" t="s">
        <v>141</v>
      </c>
      <c r="D102" s="18">
        <v>0.29166666666666669</v>
      </c>
      <c r="E102" s="18">
        <v>0.70833333333333337</v>
      </c>
      <c r="F102" s="9"/>
      <c r="G102" s="9"/>
      <c r="H102" s="10"/>
    </row>
    <row r="103" spans="1:13" ht="45" customHeight="1" thickBot="1" x14ac:dyDescent="0.25">
      <c r="A103" s="90" t="s">
        <v>31</v>
      </c>
      <c r="B103" s="56"/>
      <c r="C103" s="19">
        <f>COUNTA(B98:B102)</f>
        <v>4</v>
      </c>
      <c r="D103" s="102"/>
      <c r="E103" s="55"/>
      <c r="F103" s="55"/>
      <c r="G103" s="55"/>
      <c r="H103" s="55"/>
    </row>
    <row r="104" spans="1:13" ht="39" customHeight="1" thickBot="1" x14ac:dyDescent="0.25">
      <c r="A104" s="88"/>
      <c r="B104" s="88"/>
      <c r="C104" s="88"/>
      <c r="D104" s="88"/>
      <c r="E104" s="88"/>
      <c r="F104" s="88"/>
      <c r="G104" s="89"/>
      <c r="H104" s="6" t="s">
        <v>59</v>
      </c>
    </row>
    <row r="105" spans="1:13" ht="34.5" customHeight="1" thickBot="1" x14ac:dyDescent="0.25">
      <c r="A105" s="91" t="s">
        <v>0</v>
      </c>
      <c r="B105" s="57" t="s">
        <v>1</v>
      </c>
      <c r="C105" s="57" t="s">
        <v>2</v>
      </c>
      <c r="D105" s="74" t="s">
        <v>3</v>
      </c>
      <c r="E105" s="75"/>
      <c r="F105" s="99" t="s">
        <v>143</v>
      </c>
      <c r="G105" s="57" t="s">
        <v>5</v>
      </c>
      <c r="H105" s="32"/>
    </row>
    <row r="106" spans="1:13" ht="39" customHeight="1" thickBot="1" x14ac:dyDescent="0.25">
      <c r="A106" s="92"/>
      <c r="B106" s="58"/>
      <c r="C106" s="58"/>
      <c r="D106" s="8" t="s">
        <v>7</v>
      </c>
      <c r="E106" s="8" t="s">
        <v>8</v>
      </c>
      <c r="F106" s="58"/>
      <c r="G106" s="58"/>
      <c r="H106" s="33"/>
    </row>
    <row r="107" spans="1:13" ht="39" customHeight="1" thickBot="1" x14ac:dyDescent="0.25">
      <c r="A107" s="54" t="s">
        <v>144</v>
      </c>
      <c r="B107" s="55"/>
      <c r="C107" s="56"/>
      <c r="D107" s="85"/>
      <c r="E107" s="86"/>
      <c r="F107" s="86"/>
      <c r="G107" s="86"/>
      <c r="H107" s="87"/>
      <c r="M107" s="37"/>
    </row>
    <row r="108" spans="1:13" ht="39" customHeight="1" x14ac:dyDescent="0.2">
      <c r="A108" s="11">
        <v>1</v>
      </c>
      <c r="B108" s="12" t="s">
        <v>145</v>
      </c>
      <c r="C108" s="13" t="s">
        <v>146</v>
      </c>
      <c r="D108" s="76" t="s">
        <v>12</v>
      </c>
      <c r="E108" s="77"/>
      <c r="F108" s="45"/>
      <c r="G108" s="44"/>
      <c r="H108" s="10"/>
    </row>
    <row r="109" spans="1:13" ht="45" customHeight="1" x14ac:dyDescent="0.2">
      <c r="A109" s="11">
        <v>2</v>
      </c>
      <c r="B109" s="12" t="s">
        <v>147</v>
      </c>
      <c r="C109" s="13" t="s">
        <v>148</v>
      </c>
      <c r="D109" s="40">
        <v>0.33333333333333331</v>
      </c>
      <c r="E109" s="40">
        <v>0.75</v>
      </c>
      <c r="F109" s="41"/>
      <c r="G109" s="39"/>
      <c r="H109" s="10"/>
    </row>
    <row r="110" spans="1:13" ht="45" customHeight="1" x14ac:dyDescent="0.2">
      <c r="A110" s="11">
        <v>3</v>
      </c>
      <c r="B110" s="12" t="s">
        <v>149</v>
      </c>
      <c r="C110" s="13" t="s">
        <v>150</v>
      </c>
      <c r="D110" s="18" t="s">
        <v>151</v>
      </c>
      <c r="E110" s="18">
        <v>0.75</v>
      </c>
      <c r="F110" s="17"/>
      <c r="G110" s="9"/>
      <c r="H110" s="10"/>
    </row>
    <row r="111" spans="1:13" ht="45" customHeight="1" thickBot="1" x14ac:dyDescent="0.25">
      <c r="A111" s="11">
        <v>4</v>
      </c>
      <c r="B111" s="12" t="s">
        <v>152</v>
      </c>
      <c r="C111" s="13" t="s">
        <v>150</v>
      </c>
      <c r="D111" s="78" t="s">
        <v>28</v>
      </c>
      <c r="E111" s="79"/>
      <c r="F111" s="47"/>
      <c r="G111" s="46"/>
      <c r="H111" s="10"/>
    </row>
    <row r="112" spans="1:13" ht="45" customHeight="1" thickBot="1" x14ac:dyDescent="0.25">
      <c r="A112" s="90" t="s">
        <v>31</v>
      </c>
      <c r="B112" s="56"/>
      <c r="C112" s="19">
        <f>COUNTA(B107:B111)</f>
        <v>4</v>
      </c>
      <c r="D112" s="20"/>
      <c r="E112" s="20"/>
      <c r="F112" s="9"/>
      <c r="G112" s="10"/>
      <c r="H112" s="24"/>
    </row>
    <row r="113" spans="1:10" ht="39" customHeight="1" x14ac:dyDescent="0.25">
      <c r="A113" s="34"/>
      <c r="B113" s="34"/>
      <c r="C113" s="34"/>
      <c r="D113" s="4"/>
      <c r="E113" s="4"/>
      <c r="F113" s="4"/>
      <c r="G113" s="4"/>
      <c r="H113" s="4"/>
    </row>
    <row r="114" spans="1:10" ht="39" customHeight="1" x14ac:dyDescent="0.25">
      <c r="A114" s="34"/>
      <c r="B114" s="34" t="s">
        <v>153</v>
      </c>
      <c r="C114" s="4"/>
      <c r="D114" s="4"/>
      <c r="E114" s="4"/>
      <c r="F114" s="4"/>
      <c r="G114" s="4"/>
      <c r="H114" s="5" t="s">
        <v>154</v>
      </c>
    </row>
    <row r="115" spans="1:10" ht="39" customHeight="1" x14ac:dyDescent="0.35">
      <c r="A115" s="34"/>
      <c r="B115" s="34"/>
      <c r="D115" s="68"/>
      <c r="E115" s="69"/>
      <c r="F115" s="73"/>
      <c r="G115" s="69"/>
      <c r="H115" s="35" t="s">
        <v>155</v>
      </c>
    </row>
    <row r="116" spans="1:10" ht="39" customHeight="1" x14ac:dyDescent="0.2">
      <c r="A116" s="31"/>
      <c r="B116" s="31"/>
      <c r="C116" s="5"/>
      <c r="D116" s="31"/>
      <c r="E116" s="31"/>
      <c r="F116" s="31"/>
      <c r="G116" s="31"/>
      <c r="H116" s="31"/>
      <c r="I116" s="36"/>
    </row>
    <row r="117" spans="1:10" ht="34.5" customHeight="1" x14ac:dyDescent="0.35">
      <c r="J117" s="31" t="s">
        <v>156</v>
      </c>
    </row>
  </sheetData>
  <mergeCells count="103">
    <mergeCell ref="A4:G4"/>
    <mergeCell ref="D62:H62"/>
    <mergeCell ref="D64:H64"/>
    <mergeCell ref="D70:H70"/>
    <mergeCell ref="D75:H75"/>
    <mergeCell ref="A80:G80"/>
    <mergeCell ref="D96:H96"/>
    <mergeCell ref="D90:H90"/>
    <mergeCell ref="D85:H85"/>
    <mergeCell ref="D83:H83"/>
    <mergeCell ref="D35:H35"/>
    <mergeCell ref="D22:H22"/>
    <mergeCell ref="D43:H43"/>
    <mergeCell ref="D52:H52"/>
    <mergeCell ref="D68:H68"/>
    <mergeCell ref="A96:C96"/>
    <mergeCell ref="A85:C85"/>
    <mergeCell ref="D7:H7"/>
    <mergeCell ref="G41:G42"/>
    <mergeCell ref="D60:E60"/>
    <mergeCell ref="A79:B79"/>
    <mergeCell ref="A52:C52"/>
    <mergeCell ref="B41:B42"/>
    <mergeCell ref="A68:C68"/>
    <mergeCell ref="G5:G6"/>
    <mergeCell ref="A64:C64"/>
    <mergeCell ref="D18:F18"/>
    <mergeCell ref="F5:F6"/>
    <mergeCell ref="D39:H39"/>
    <mergeCell ref="F41:F42"/>
    <mergeCell ref="D16:E16"/>
    <mergeCell ref="D13:E13"/>
    <mergeCell ref="D21:F21"/>
    <mergeCell ref="D51:H51"/>
    <mergeCell ref="D34:F34"/>
    <mergeCell ref="C41:C42"/>
    <mergeCell ref="D38:E38"/>
    <mergeCell ref="D24:E24"/>
    <mergeCell ref="D33:E33"/>
    <mergeCell ref="B1:C2"/>
    <mergeCell ref="B3:H3"/>
    <mergeCell ref="F105:F106"/>
    <mergeCell ref="H81:H82"/>
    <mergeCell ref="D103:H103"/>
    <mergeCell ref="D41:E41"/>
    <mergeCell ref="D81:E81"/>
    <mergeCell ref="D65:E65"/>
    <mergeCell ref="G105:G106"/>
    <mergeCell ref="A67:B67"/>
    <mergeCell ref="D30:E30"/>
    <mergeCell ref="A35:C35"/>
    <mergeCell ref="A51:B51"/>
    <mergeCell ref="D99:E99"/>
    <mergeCell ref="H41:H42"/>
    <mergeCell ref="A43:C43"/>
    <mergeCell ref="D19:F19"/>
    <mergeCell ref="G81:G82"/>
    <mergeCell ref="A39:B39"/>
    <mergeCell ref="H5:H6"/>
    <mergeCell ref="A62:C62"/>
    <mergeCell ref="D5:E5"/>
    <mergeCell ref="A90:C90"/>
    <mergeCell ref="A41:A42"/>
    <mergeCell ref="D115:E115"/>
    <mergeCell ref="F81:F82"/>
    <mergeCell ref="D86:E86"/>
    <mergeCell ref="F115:G115"/>
    <mergeCell ref="D105:E105"/>
    <mergeCell ref="D108:E108"/>
    <mergeCell ref="D111:E111"/>
    <mergeCell ref="D87:E87"/>
    <mergeCell ref="D98:H98"/>
    <mergeCell ref="D107:H107"/>
    <mergeCell ref="A104:G104"/>
    <mergeCell ref="A112:B112"/>
    <mergeCell ref="A105:A106"/>
    <mergeCell ref="A81:A82"/>
    <mergeCell ref="A98:C98"/>
    <mergeCell ref="A89:B89"/>
    <mergeCell ref="A107:C107"/>
    <mergeCell ref="C81:C82"/>
    <mergeCell ref="A83:C83"/>
    <mergeCell ref="C105:C106"/>
    <mergeCell ref="B105:B106"/>
    <mergeCell ref="A103:B103"/>
    <mergeCell ref="B81:B82"/>
    <mergeCell ref="A95:B95"/>
    <mergeCell ref="D76:E76"/>
    <mergeCell ref="A7:C7"/>
    <mergeCell ref="C5:C6"/>
    <mergeCell ref="A21:B21"/>
    <mergeCell ref="D20:F20"/>
    <mergeCell ref="A22:C22"/>
    <mergeCell ref="D23:E23"/>
    <mergeCell ref="A34:B34"/>
    <mergeCell ref="D36:E36"/>
    <mergeCell ref="A61:B61"/>
    <mergeCell ref="A5:A6"/>
    <mergeCell ref="B5:B6"/>
    <mergeCell ref="D8:E8"/>
    <mergeCell ref="A70:C70"/>
    <mergeCell ref="A74:B74"/>
    <mergeCell ref="A75:C75"/>
  </mergeCells>
  <printOptions horizontalCentered="1"/>
  <pageMargins left="0" right="0" top="0" bottom="0" header="0.511811023622047" footer="0.511811023622047"/>
  <pageSetup paperSize="9" scale="48" fitToHeight="0" orientation="portrait" r:id="rId1"/>
  <rowBreaks count="3" manualBreakCount="3">
    <brk id="34" max="4" man="1"/>
    <brk id="61" max="4" man="1"/>
    <brk id="95" max="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New Capital</vt:lpstr>
      <vt:lpstr>'New Capital'!Excel_BuiltIn__FilterDatabase</vt:lpstr>
      <vt:lpstr>'New Capital'!Print_Area</vt:lpstr>
      <vt:lpstr>'New Capital'!Print_Titles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George.shahat</dc:creator>
  <cp:lastModifiedBy>xps store</cp:lastModifiedBy>
  <cp:revision>0</cp:revision>
  <cp:lastPrinted>2026-01-29T07:35:39Z</cp:lastPrinted>
  <dcterms:created xsi:type="dcterms:W3CDTF">2005-12-04T07:53:03Z</dcterms:created>
  <dcterms:modified xsi:type="dcterms:W3CDTF">2026-02-03T10:24:46Z</dcterms:modified>
  <dc:language>en-US</dc:language>
</cp:coreProperties>
</file>